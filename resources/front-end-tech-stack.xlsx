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Nagarro\Downloads\mistral-studio-marketing\resources\"/>
    </mc:Choice>
  </mc:AlternateContent>
  <xr:revisionPtr revIDLastSave="0" documentId="13_ncr:1_{399C2508-23D5-4DD3-932C-37EB26F9DA57}" xr6:coauthVersionLast="47" xr6:coauthVersionMax="47" xr10:uidLastSave="{00000000-0000-0000-0000-000000000000}"/>
  <bookViews>
    <workbookView xWindow="-120" yWindow="-120" windowWidth="29040" windowHeight="15720" xr2:uid="{EF5B80AB-ADB8-41B6-9144-E751AE61F18B}"/>
  </bookViews>
  <sheets>
    <sheet name="Home" sheetId="4" r:id="rId1"/>
    <sheet name="Chat" sheetId="1" r:id="rId2"/>
    <sheet name="Console"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4" l="1"/>
  <c r="A5" i="4"/>
  <c r="E15" i="4"/>
  <c r="E16" i="4"/>
  <c r="E17" i="4"/>
  <c r="E18" i="4"/>
  <c r="E19" i="4"/>
  <c r="E20" i="4"/>
  <c r="E21" i="4"/>
  <c r="E22" i="4"/>
  <c r="E23" i="4"/>
  <c r="E24" i="4"/>
  <c r="E25" i="4"/>
  <c r="E26" i="4"/>
  <c r="E27" i="4"/>
  <c r="E28" i="4"/>
  <c r="D5" i="3"/>
  <c r="E5" i="3" a="1"/>
  <c r="E5" i="3" s="1"/>
  <c r="F5" i="1"/>
  <c r="C5" i="1"/>
  <c r="E5"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<sst xmlns="http://schemas.openxmlformats.org/spreadsheetml/2006/main" count="209" uniqueCount="135">
  <si>
    <t>Miscellaneous</t>
  </si>
  <si>
    <t>Analytics</t>
  </si>
  <si>
    <t>CDN</t>
  </si>
  <si>
    <t>Tag managers</t>
  </si>
  <si>
    <t>Live chat</t>
  </si>
  <si>
    <t>JavaScript libraries</t>
  </si>
  <si>
    <t>Cookie compliance</t>
  </si>
  <si>
    <t>Performance</t>
  </si>
  <si>
    <t>JavaScript frameworks</t>
  </si>
  <si>
    <t>Web servers</t>
  </si>
  <si>
    <t>Web frameworks</t>
  </si>
  <si>
    <t>Reverse proxies</t>
  </si>
  <si>
    <t>UI frameworks</t>
  </si>
  <si>
    <t>JavaScript graphics</t>
  </si>
  <si>
    <t>CRM</t>
  </si>
  <si>
    <t>Issue trackers</t>
  </si>
  <si>
    <t>Development</t>
  </si>
  <si>
    <t>Static site generators</t>
  </si>
  <si>
    <t>Google Analytics</t>
  </si>
  <si>
    <t>https://chat.mistral.ai</t>
  </si>
  <si>
    <t>PWA ; Open Graph</t>
  </si>
  <si>
    <t>Intercom</t>
  </si>
  <si>
    <t>Framer Motion ; core-js</t>
  </si>
  <si>
    <t>Priority Hints</t>
  </si>
  <si>
    <t>React ; Next.js</t>
  </si>
  <si>
    <t>Next.js</t>
  </si>
  <si>
    <t>Radix UI ; Tailwind CSS</t>
  </si>
  <si>
    <t>Sentry</t>
  </si>
  <si>
    <t>Turbopack</t>
  </si>
  <si>
    <t>MISTRAL CHAT — TECHNOLOGY PROFILE</t>
  </si>
  <si>
    <t>A concise view of the detected front-end architecture, experience layer, and integrations</t>
  </si>
  <si>
    <t>TARGET</t>
  </si>
  <si>
    <t>DETECTED CAPABILITIES</t>
  </si>
  <si>
    <t>UNIQUE TECHNOLOGIES</t>
  </si>
  <si>
    <t>STORY IN BRIEF</t>
  </si>
  <si>
    <t>The site is built around React and Next.js, with Radix UI and Tailwind CSS forming the interface layer. Framer Motion adds interaction polish, while Priority Hints supports loading performance. Intercom appears across customer-facing functions, and Sentry is detected in the engineering toolchain. The profile below consolidates 12 populated technology categories from a 153-column source scan.</t>
  </si>
  <si>
    <t>CATEGORY</t>
  </si>
  <si>
    <t>SIGNAL</t>
  </si>
  <si>
    <t>DETECTED TECHNOLOGY</t>
  </si>
  <si>
    <t>ROLE / INTERPRETATION</t>
  </si>
  <si>
    <t>Experience</t>
  </si>
  <si>
    <t>Progressive web and metadata capabilities</t>
  </si>
  <si>
    <t>Customer tools</t>
  </si>
  <si>
    <t>Customer messaging and support</t>
  </si>
  <si>
    <t>UI &amp; styling</t>
  </si>
  <si>
    <t>Front-end animation and compatibility libraries</t>
  </si>
  <si>
    <t>Browser resource-loading optimization</t>
  </si>
  <si>
    <t>Core platform</t>
  </si>
  <si>
    <t>Primary application framework</t>
  </si>
  <si>
    <t>Server-side delivery layer</t>
  </si>
  <si>
    <t>Application rendering framework</t>
  </si>
  <si>
    <t>Component primitives and styling system</t>
  </si>
  <si>
    <t>Customer engagement integration</t>
  </si>
  <si>
    <t>Engineering</t>
  </si>
  <si>
    <t>Error tracking and issue triage</t>
  </si>
  <si>
    <t>Development build and bundling tool</t>
  </si>
  <si>
    <t>Static generation capability</t>
  </si>
  <si>
    <t>TECHNOLOGY INDEX</t>
  </si>
  <si>
    <t>Framer Motion</t>
  </si>
  <si>
    <t>Detected</t>
  </si>
  <si>
    <t>Open Graph</t>
  </si>
  <si>
    <t>PWA</t>
  </si>
  <si>
    <t>Radix UI</t>
  </si>
  <si>
    <t>React</t>
  </si>
  <si>
    <t>Tailwind CSS</t>
  </si>
  <si>
    <t>core-js</t>
  </si>
  <si>
    <t>Envoy</t>
  </si>
  <si>
    <t>Cloudflare</t>
  </si>
  <si>
    <t>Only populated export fields are promoted here. The complete 153-field source remains available on the Raw Technology Export sheet for traceability.</t>
  </si>
  <si>
    <t>REVIEW NOTES</t>
  </si>
  <si>
    <t>Detected value</t>
  </si>
  <si>
    <t>Attribute</t>
  </si>
  <si>
    <t>DETECTED SIGNALS</t>
  </si>
  <si>
    <t>The export identifies 13 populated attributes across 153 available fields for https://console.mistral.ai. The application layer is centered on React and Next.js, with Radix UI and Tailwind CSS supporting the interface. Cloudflare and Envoy appear in the delivery path, while Intercom supports customer engagement. The compact table below removes empty fields so the detected stack can be reviewed without horizontal scrolling.</t>
  </si>
  <si>
    <t>https://console.mistral.ai</t>
  </si>
  <si>
    <t>SOURCE FIELDS</t>
  </si>
  <si>
    <t>LISTED ITEMS</t>
  </si>
  <si>
    <t>POPULATED ATTRIBUTES</t>
  </si>
  <si>
    <t>Consolidated front-end, delivery, and engagement signals from the source technology export</t>
  </si>
  <si>
    <t>TECHNOLOGY PROFILE</t>
  </si>
  <si>
    <t>Content &amp; discoverability</t>
  </si>
  <si>
    <t>Measurement &amp; governance</t>
  </si>
  <si>
    <t>Delivery &amp; platform</t>
  </si>
  <si>
    <t>Frontend architecture</t>
  </si>
  <si>
    <t>Strategic group</t>
  </si>
  <si>
    <t>Improves link previews and content presentation on social and messaging platforms.</t>
  </si>
  <si>
    <t>Social sharing metadata</t>
  </si>
  <si>
    <t>Supports machine-readable content distribution and subscriber workflows.</t>
  </si>
  <si>
    <t>Content syndication feed</t>
  </si>
  <si>
    <t>RSS</t>
  </si>
  <si>
    <t>Provides a visible consent layer for cookies and tracking technologies.</t>
  </si>
  <si>
    <t>Consent management platform</t>
  </si>
  <si>
    <t>Axeptio</t>
  </si>
  <si>
    <t>Centralizes tag deployment, but requires disciplined permissions and publishing controls.</t>
  </si>
  <si>
    <t>Marketing and analytics tag control</t>
  </si>
  <si>
    <t>Google Tag Manager</t>
  </si>
  <si>
    <t>Provides usage measurement; governance depends on consent and configuration choices.</t>
  </si>
  <si>
    <t>Audience and behavior analytics</t>
  </si>
  <si>
    <t>Reduces connection overhead and can improve resilience on variable networks.</t>
  </si>
  <si>
    <t>Modern web transport protocol</t>
  </si>
  <si>
    <t>HTTP/3</t>
  </si>
  <si>
    <t>Strengthens global delivery and may add traffic filtering and edge security controls.</t>
  </si>
  <si>
    <t>Edge caching and network protection</t>
  </si>
  <si>
    <t>Combines deployment automation with managed hosting and delivery services.</t>
  </si>
  <si>
    <t>Hosting, deployment and edge delivery</t>
  </si>
  <si>
    <t>CDN; PaaS</t>
  </si>
  <si>
    <t>Netlify</t>
  </si>
  <si>
    <t>Improves browser compatibility where newer language features are used.</t>
  </si>
  <si>
    <t>JavaScript compatibility polyfills</t>
  </si>
  <si>
    <t>Supports responsive sliders and touch interaction across device sizes.</t>
  </si>
  <si>
    <t>Touch-enabled carousel UI</t>
  </si>
  <si>
    <t>Swiper</t>
  </si>
  <si>
    <t>Signals advanced visual storytelling, with a potential performance cost on weaker devices.</t>
  </si>
  <si>
    <t>3D and WebGL rendering</t>
  </si>
  <si>
    <t>Three.js</t>
  </si>
  <si>
    <t>Adds high-performance motion and timeline-based interaction to the experience.</t>
  </si>
  <si>
    <t>Animation engine</t>
  </si>
  <si>
    <t>GSAP</t>
  </si>
  <si>
    <t>Enables consistent, responsive styling with a compact production CSS footprint.</t>
  </si>
  <si>
    <t>Utility-first styling system</t>
  </si>
  <si>
    <t>Core rendering foundation; supports fast delivery and modern component composition.</t>
  </si>
  <si>
    <t>Static-first application framework</t>
  </si>
  <si>
    <t>JavaScript frameworks; Static site generators</t>
  </si>
  <si>
    <t>Astro</t>
  </si>
  <si>
    <t>Assessment</t>
  </si>
  <si>
    <t>Presence count</t>
  </si>
  <si>
    <t>Primary role</t>
  </si>
  <si>
    <t>Detected category</t>
  </si>
  <si>
    <t>Technology</t>
  </si>
  <si>
    <t>DETECTED TECHNOLOGY INVENTORY</t>
  </si>
  <si>
    <t>The detected stack is a modern, performance-oriented static front end: Astro and Tailwind CSS provide the foundation, while GSAP, Three.js, and Swiper add rich interaction. Netlify, Cloudflare, and HTTP/3 create a strong delivery layer, and Google Analytics plus Google Tag Manager provide measurement coverage. Axeptio supplies a visible consent-management control. The main limitation is evidentiary: technology detection confirms presence, but not implementation quality, security settings, data governance, or whether every library is active on each page.</t>
  </si>
  <si>
    <t>MULTI-ROLE TOOLS</t>
  </si>
  <si>
    <t>STRATEGIC GROUPS</t>
  </si>
  <si>
    <t>Detected stack grouped by business function; findings indicate presence, not configuration quality or active runtime usage.</t>
  </si>
  <si>
    <t>Mistral.ai Front-End Technology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</si>
</sst>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font>
    <font>
      <b/>
      <sz val="11"/>
      <color rgb="FFFFFFFF"/>
      <name val="Aptos"/>
    </font>
    <font>
      <b/>
      <sz val="12"/>
      <color rgb="FFFFFFFF"/>
      <name val="Aptos"/>
    </font>
    <font>
      <sz val="11"/>
      <color rgb="FF263746"/>
      <name val="Aptos"/>
    </font>
    <font>
      <b/>
      <sz val="11"/>
      <color rgb="FF17324D"/>
      <name val="Aptos"/>
    </font>
    <font>
      <b/>
      <sz val="18"/>
      <color rgb="FFFFFFFF"/>
      <name val="Aptos Display"/>
    </font>
    <font>
      <i/>
      <sz val="10"/>
      <color rgb="FF667085"/>
      <name val="Aptos"/>
    </font>
    <font>
      <b/>
      <sz val="24"/>
      <color rgb="FF0B6E99"/>
      <name val="Aptos Display"/>
    </font>
    <font>
      <sz val="10"/>
      <color rgb="FF263746"/>
      <name val="Aptos"/>
    </font>
    <font>
      <b/>
      <sz val="16"/>
      <color rgb="FF0B6E99"/>
      <name val="Aptos Display"/>
    </font>
    <font>
      <b/>
      <sz val="10"/>
      <color rgb="FF263746"/>
      <name val="Aptos"/>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4F8FB"/>
        <bgColor indexed="64"/>
      </patternFill>
    </fill>
    <fill>
      <patternFill patternType="solid">
        <fgColor rgb="FF0B6E99"/>
        <bgColor indexed="64"/>
      </patternFill>
    </fill>
    <fill>
      <patternFill patternType="solid">
        <fgColor rgb="FFDCEAF3"/>
        <bgColor indexed="64"/>
      </patternFill>
    </fill>
    <fill>
      <patternFill patternType="solid">
        <fgColor rgb="FF17324D"/>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4C9AFF"/>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bottom style="thin">
        <color rgb="FF93C5FD"/>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18" fillId="0" borderId="0" xfId="0" applyFont="1"/>
    <xf numFmtId="164" fontId="18" fillId="0" borderId="0" xfId="0" applyNumberFormat="1" applyFont="1" applyAlignment="1">
      <alignment horizontal="right"/>
    </xf>
    <xf numFmtId="1" fontId="18" fillId="0" borderId="0" xfId="0" applyNumberFormat="1" applyFont="1" applyAlignment="1">
      <alignment horizontal="right"/>
    </xf>
    <xf numFmtId="0" fontId="18" fillId="0" borderId="0" xfId="0" applyFont="1" applyAlignment="1">
      <alignment horizontal="center"/>
    </xf>
    <xf numFmtId="0" fontId="21" fillId="33" borderId="0" xfId="0" applyFont="1" applyFill="1" applyAlignment="1">
      <alignment vertical="top" wrapText="1"/>
    </xf>
    <xf numFmtId="0" fontId="20" fillId="0" borderId="0" xfId="0" applyFont="1" applyFill="1" applyAlignment="1"/>
    <xf numFmtId="0" fontId="21" fillId="0" borderId="0" xfId="0" applyFont="1" applyFill="1"/>
    <xf numFmtId="0" fontId="23" fillId="36" borderId="0" xfId="0" applyFont="1" applyFill="1" applyAlignment="1">
      <alignment vertical="center"/>
    </xf>
    <xf numFmtId="0" fontId="24" fillId="0" borderId="0" xfId="0" applyFont="1" applyFill="1" applyAlignment="1">
      <alignment vertical="center" wrapText="1"/>
    </xf>
    <xf numFmtId="0" fontId="22" fillId="35" borderId="0" xfId="0" applyFont="1" applyFill="1" applyAlignment="1">
      <alignment horizontal="center" vertical="center" wrapText="1"/>
    </xf>
    <xf numFmtId="1" fontId="25" fillId="33" borderId="0" xfId="0" applyNumberFormat="1" applyFont="1" applyFill="1" applyAlignment="1">
      <alignment horizontal="center" vertical="center" wrapText="1"/>
    </xf>
    <xf numFmtId="0" fontId="20" fillId="34" borderId="0" xfId="0" applyFont="1" applyFill="1" applyAlignment="1">
      <alignment vertical="center"/>
    </xf>
    <xf numFmtId="0" fontId="19" fillId="34" borderId="0" xfId="0" applyFont="1" applyFill="1" applyAlignment="1">
      <alignment horizontal="center" vertical="center" wrapText="1"/>
    </xf>
    <xf numFmtId="0" fontId="26" fillId="0" borderId="0" xfId="0" applyFont="1" applyFill="1" applyAlignment="1">
      <alignment vertical="top" wrapText="1"/>
    </xf>
    <xf numFmtId="1" fontId="26" fillId="0" borderId="0" xfId="0" applyNumberFormat="1" applyFont="1" applyFill="1" applyAlignment="1">
      <alignment horizontal="right" vertical="top"/>
    </xf>
    <xf numFmtId="0" fontId="27" fillId="33" borderId="0" xfId="0" applyFont="1" applyFill="1" applyAlignment="1">
      <alignment horizontal="center" vertical="center" wrapText="1"/>
    </xf>
    <xf numFmtId="0" fontId="27" fillId="33" borderId="10" xfId="0" applyFont="1" applyFill="1" applyBorder="1" applyAlignment="1">
      <alignment horizontal="center" vertical="center" wrapText="1"/>
    </xf>
    <xf numFmtId="0" fontId="25" fillId="33" borderId="0" xfId="0" applyFont="1" applyFill="1" applyAlignment="1">
      <alignment horizontal="center" vertical="center" wrapText="1"/>
    </xf>
    <xf numFmtId="0" fontId="25" fillId="33" borderId="10" xfId="0" applyFont="1" applyFill="1" applyBorder="1" applyAlignment="1">
      <alignment horizontal="center" vertical="center" wrapText="1"/>
    </xf>
    <xf numFmtId="0" fontId="19" fillId="34" borderId="0" xfId="0" applyFont="1" applyFill="1" applyAlignment="1">
      <alignment horizontal="center" vertical="center"/>
    </xf>
    <xf numFmtId="1" fontId="26" fillId="33" borderId="11" xfId="0" applyNumberFormat="1" applyFont="1" applyFill="1" applyBorder="1" applyAlignment="1">
      <alignment horizontal="center"/>
    </xf>
    <xf numFmtId="0" fontId="28" fillId="33" borderId="11" xfId="0" applyFont="1" applyFill="1" applyBorder="1"/>
    <xf numFmtId="0" fontId="26" fillId="33" borderId="11" xfId="0" applyFont="1" applyFill="1" applyBorder="1" applyAlignment="1">
      <alignment horizontal="center"/>
    </xf>
    <xf numFmtId="1" fontId="26" fillId="33" borderId="12" xfId="0" applyNumberFormat="1" applyFont="1" applyFill="1" applyBorder="1" applyAlignment="1">
      <alignment horizontal="center"/>
    </xf>
    <xf numFmtId="0" fontId="28" fillId="33" borderId="12" xfId="0" applyFont="1" applyFill="1" applyBorder="1"/>
    <xf numFmtId="0" fontId="26" fillId="33" borderId="12" xfId="0" applyFont="1" applyFill="1" applyBorder="1" applyAlignment="1">
      <alignment horizontal="center"/>
    </xf>
    <xf numFmtId="1" fontId="26" fillId="33" borderId="13" xfId="0" applyNumberFormat="1" applyFont="1" applyFill="1" applyBorder="1" applyAlignment="1">
      <alignment horizontal="center"/>
    </xf>
    <xf numFmtId="0" fontId="28" fillId="33" borderId="13" xfId="0" applyFont="1" applyFill="1" applyBorder="1"/>
    <xf numFmtId="0" fontId="26" fillId="33" borderId="13" xfId="0" applyFont="1" applyFill="1" applyBorder="1" applyAlignment="1">
      <alignment horizontal="center"/>
    </xf>
    <xf numFmtId="0" fontId="22" fillId="35" borderId="0" xfId="0" applyFont="1" applyFill="1" applyAlignment="1">
      <alignment horizontal="center" vertical="center" wrapText="1"/>
    </xf>
    <xf numFmtId="0" fontId="27" fillId="33" borderId="14" xfId="0" applyFont="1" applyFill="1" applyBorder="1" applyAlignment="1">
      <alignment horizontal="center" vertical="center" wrapText="1"/>
    </xf>
    <xf numFmtId="0" fontId="22" fillId="35" borderId="0" xfId="0" applyFont="1" applyFill="1" applyAlignment="1">
      <alignment vertical="center"/>
    </xf>
    <xf numFmtId="0" fontId="26" fillId="33" borderId="0" xfId="0"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font>
        <sz val="10"/>
        <color rgb="FF263746"/>
        <name val="Aptos"/>
      </font>
      <fill>
        <patternFill patternType="none"/>
      </fill>
      <alignment vertical="top" wrapText="1"/>
    </dxf>
    <dxf>
      <font>
        <sz val="10"/>
        <color rgb="FF263746"/>
        <name val="Aptos"/>
      </font>
      <fill>
        <patternFill patternType="none"/>
      </fill>
      <alignment vertical="top" wrapText="1"/>
    </dxf>
    <dxf>
      <font>
        <sz val="10"/>
        <color rgb="FF263746"/>
        <name val="Aptos"/>
      </font>
      <fill>
        <patternFill patternType="none"/>
      </fill>
      <alignment vertical="top" wrapText="1"/>
    </dxf>
    <dxf>
      <font>
        <b/>
        <sz val="11"/>
        <color rgb="FFFFFFFF"/>
        <name val="Aptos"/>
      </font>
      <fill>
        <patternFill patternType="solid">
          <fgColor indexed="64"/>
          <bgColor rgb="FF0B6E99"/>
        </patternFill>
      </fill>
      <alignment horizontal="center" vertical="center" wrapText="1"/>
    </dxf>
    <dxf>
      <font>
        <sz val="10"/>
        <color rgb="FF263746"/>
        <name val="Aptos"/>
      </font>
      <fill>
        <patternFill patternType="none"/>
      </fill>
      <alignment vertical="top" wrapText="1"/>
    </dxf>
    <dxf>
      <font>
        <sz val="10"/>
        <color rgb="FF263746"/>
        <name val="Aptos"/>
      </font>
      <fill>
        <patternFill patternType="none"/>
      </fill>
      <alignment vertical="top" wrapText="1"/>
    </dxf>
    <dxf>
      <font>
        <sz val="10"/>
        <color rgb="FF263746"/>
        <name val="Aptos"/>
      </font>
      <fill>
        <patternFill patternType="none"/>
      </fill>
      <alignment vertical="top" wrapText="1"/>
    </dxf>
    <dxf>
      <font>
        <sz val="10"/>
        <color rgb="FF263746"/>
        <name val="Aptos"/>
      </font>
      <fill>
        <patternFill patternType="none"/>
      </fill>
      <alignment vertical="top" wrapText="1"/>
    </dxf>
    <dxf>
      <font>
        <sz val="10"/>
        <color rgb="FF263746"/>
        <name val="Aptos"/>
      </font>
      <fill>
        <patternFill patternType="none"/>
      </fill>
      <alignment vertical="top" wrapText="1"/>
    </dxf>
    <dxf>
      <font>
        <b/>
        <i val="0"/>
        <strike val="0"/>
        <condense val="0"/>
        <extend val="0"/>
        <outline val="0"/>
        <shadow val="0"/>
        <u val="none"/>
        <vertAlign val="baseline"/>
        <sz val="11"/>
        <color rgb="FFFFFFFF"/>
        <name val="Aptos"/>
        <scheme val="minor"/>
      </font>
      <fill>
        <patternFill patternType="solid">
          <fgColor indexed="64"/>
          <bgColor rgb="FF0B6E99"/>
        </patternFill>
      </fill>
      <alignment horizontal="center" vertical="center" textRotation="0" wrapText="1" indent="0" justifyLastLine="0" shrinkToFit="0" readingOrder="0"/>
    </dxf>
    <dxf>
      <font>
        <sz val="10"/>
        <color rgb="FF263746"/>
        <name val="Aptos"/>
      </font>
      <numFmt numFmtId="1" formatCode="0"/>
      <fill>
        <patternFill patternType="none"/>
      </fill>
      <alignment horizontal="right" vertical="top" textRotation="0" wrapText="0" indent="0" justifyLastLine="0" shrinkToFit="0" readingOrder="0"/>
    </dxf>
    <dxf>
      <font>
        <sz val="10"/>
        <color rgb="FF263746"/>
        <name val="Aptos"/>
      </font>
      <fill>
        <patternFill patternType="none"/>
      </fill>
      <alignment horizontal="general" vertical="top" textRotation="0" wrapText="1" indent="0" justifyLastLine="0" shrinkToFit="0" readingOrder="0"/>
    </dxf>
    <dxf>
      <font>
        <sz val="10"/>
        <color rgb="FF263746"/>
        <name val="Aptos"/>
      </font>
      <fill>
        <patternFill patternType="none"/>
      </fill>
      <alignment horizontal="general" vertical="top" textRotation="0" wrapText="1" indent="0" justifyLastLine="0" shrinkToFit="0" readingOrder="0"/>
    </dxf>
    <dxf>
      <font>
        <sz val="10"/>
        <color rgb="FF263746"/>
        <name val="Aptos"/>
      </font>
      <fill>
        <patternFill patternType="none"/>
      </fill>
      <alignment horizontal="general" vertical="top" textRotation="0" wrapText="1" indent="0" justifyLastLine="0" shrinkToFit="0" readingOrder="0"/>
    </dxf>
    <dxf>
      <font>
        <sz val="10"/>
        <color rgb="FF263746"/>
        <name val="Aptos"/>
      </font>
      <fill>
        <patternFill patternType="none"/>
      </fill>
      <alignment horizontal="general" vertical="top" textRotation="0" wrapText="1" indent="0" justifyLastLine="0" shrinkToFit="0" readingOrder="0"/>
    </dxf>
    <dxf>
      <font>
        <sz val="10"/>
        <color rgb="FF263746"/>
        <name val="Aptos"/>
      </font>
      <fill>
        <patternFill patternType="none"/>
      </fill>
      <alignment horizontal="general" vertical="top" textRotation="0" wrapText="1" indent="0" justifyLastLine="0" shrinkToFit="0" readingOrder="0"/>
    </dxf>
    <dxf>
      <font>
        <sz val="10"/>
        <color rgb="FF263746"/>
        <name val="Aptos"/>
      </font>
      <fill>
        <patternFill patternType="none"/>
      </fill>
      <alignment horizontal="general" vertical="top" textRotation="0" wrapText="1" indent="0" justifyLastLine="0" shrinkToFit="0" readingOrder="0"/>
    </dxf>
    <dxf>
      <font>
        <b/>
        <sz val="11"/>
        <color rgb="FFFFFFFF"/>
        <name val="Aptos"/>
      </font>
      <fill>
        <patternFill patternType="solid">
          <fgColor indexed="64"/>
          <bgColor rgb="FF0B6E99"/>
        </patternFill>
      </fill>
      <alignment horizontal="center" vertical="center" wrapText="1"/>
    </dxf>
    <dxf>
      <font>
        <b/>
        <i val="0"/>
        <color rgb="FF7F6000"/>
      </font>
      <fill>
        <patternFill patternType="solid">
          <fgColor indexed="64"/>
          <bgColor rgb="FFFFF2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87A3497-59E3-43F9-9D8A-CAE2F85CE1F5}" name="TechnologyInventory" displayName="TechnologyInventory" ref="A14:F28" totalsRowShown="0" headerRowDxfId="17" dataDxfId="16">
  <autoFilter ref="A14:F28" xr:uid="{6FB371C1-7DE7-42DF-84C0-6F70D52DB94B}"/>
  <tableColumns count="6">
    <tableColumn id="1" xr3:uid="{9AD2AD60-8FFF-4674-9E41-8738222CC084}" name="Strategic group" dataDxfId="15"/>
    <tableColumn id="2" xr3:uid="{1705EEDC-5B1A-49E5-90F6-A60A6160CA89}" name="Technology" dataDxfId="14"/>
    <tableColumn id="3" xr3:uid="{DE986605-D2D7-4127-AFAE-BA4CA141FABC}" name="Detected category" dataDxfId="13"/>
    <tableColumn id="4" xr3:uid="{70D45A3F-40AD-4682-8670-336C678D851B}" name="Primary role" dataDxfId="12"/>
    <tableColumn id="5" xr3:uid="{82202546-F405-499E-9EDA-EC7F9D10B5F6}" name="Presence count" dataDxfId="10">
      <calculatedColumnFormula>IF(C15="","",LEN(C15)-LEN(SUBSTITUTE(C15,";",""))+1)</calculatedColumnFormula>
    </tableColumn>
    <tableColumn id="6" xr3:uid="{2891039F-8282-4FD6-9430-A5A3DF9FD580}" name="Assessmen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EB0D1-1817-439D-BCF5-28000A4AB202}" name="TechStackProfile" displayName="TechStackProfile" ref="A12:D24" totalsRowShown="0" headerRowDxfId="9" dataDxfId="4">
  <autoFilter ref="A12:D24" xr:uid="{D67EB0D1-1817-439D-BCF5-28000A4AB202}"/>
  <tableColumns count="4">
    <tableColumn id="1" xr3:uid="{3963E5EA-9A84-46E6-A8AD-325D2198FC45}" name="CATEGORY" dataDxfId="8"/>
    <tableColumn id="2" xr3:uid="{AC20F10E-0BE2-4B63-AFE5-1FDE7F141241}" name="SIGNAL" dataDxfId="7"/>
    <tableColumn id="3" xr3:uid="{A77EB688-87E4-466E-A7DC-19D31134F95F}" name="DETECTED TECHNOLOGY" dataDxfId="6"/>
    <tableColumn id="4" xr3:uid="{966248A8-0691-4489-B249-F6CB58712C2B}" name="ROLE / INTERPRETATION"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EA3BEC-4933-48EF-B3B6-FBEA44409CEE}" name="TechnologySignals" displayName="TechnologySignals" ref="A12:B25" totalsRowShown="0" headerRowDxfId="3" dataDxfId="0">
  <autoFilter ref="A12:B25" xr:uid="{C78C0844-0782-4285-A064-0A58D6A0C87A}"/>
  <tableColumns count="2">
    <tableColumn id="1" xr3:uid="{07191AFC-558B-429F-B24D-633E6007AE32}" name="Attribute" dataDxfId="2"/>
    <tableColumn id="2" xr3:uid="{AE618C0B-AE09-47DD-ADA9-76DDD429E4E5}" name="Detected valu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E62AB-AEF2-4CFA-8AD0-638E45CA28CD}">
  <dimension ref="A1:F36"/>
  <sheetViews>
    <sheetView showGridLines="0" tabSelected="1" workbookViewId="0">
      <selection activeCell="E14" sqref="E14"/>
    </sheetView>
  </sheetViews>
  <sheetFormatPr defaultRowHeight="15" x14ac:dyDescent="0.25"/>
  <cols>
    <col min="1" max="1" width="22.85546875" customWidth="1"/>
    <col min="2" max="2" width="19" customWidth="1"/>
    <col min="3" max="3" width="27.5703125" customWidth="1"/>
    <col min="4" max="4" width="29.5703125" customWidth="1"/>
    <col min="5" max="5" width="14.28515625" customWidth="1"/>
    <col min="6" max="6" width="38.140625" customWidth="1"/>
  </cols>
  <sheetData>
    <row r="1" spans="1:6" ht="32.1" customHeight="1" x14ac:dyDescent="0.25">
      <c r="A1" s="8" t="s">
        <v>134</v>
      </c>
      <c r="B1" s="8"/>
      <c r="C1" s="8"/>
      <c r="D1" s="8"/>
      <c r="E1" s="8"/>
      <c r="F1" s="8"/>
    </row>
    <row r="2" spans="1:6" ht="24" customHeight="1" x14ac:dyDescent="0.25">
      <c r="A2" s="9" t="s">
        <v>133</v>
      </c>
      <c r="B2" s="9"/>
      <c r="C2" s="9"/>
      <c r="D2" s="9"/>
      <c r="E2" s="9"/>
      <c r="F2" s="9"/>
    </row>
    <row r="3" spans="1:6" x14ac:dyDescent="0.25">
      <c r="A3" s="7"/>
      <c r="B3" s="7"/>
      <c r="C3" s="7"/>
      <c r="D3" s="7"/>
      <c r="E3" s="7"/>
      <c r="F3" s="7"/>
    </row>
    <row r="4" spans="1:6" x14ac:dyDescent="0.25">
      <c r="A4" s="10" t="s">
        <v>33</v>
      </c>
      <c r="B4" s="10"/>
      <c r="C4" s="10" t="s">
        <v>132</v>
      </c>
      <c r="D4" s="10"/>
      <c r="E4" s="10" t="s">
        <v>131</v>
      </c>
      <c r="F4" s="10"/>
    </row>
    <row r="5" spans="1:6" ht="24" customHeight="1" x14ac:dyDescent="0.25">
      <c r="A5" s="11">
        <f>COUNTA(B15:B28)</f>
        <v>14</v>
      </c>
      <c r="B5" s="11"/>
      <c r="C5" s="11">
        <f>ROWS(_xlfn.UNIQUE(A15:A28))</f>
        <v>4</v>
      </c>
      <c r="D5" s="11"/>
      <c r="E5" s="11">
        <f>COUNTIF(E15:E28,"&gt;1")</f>
        <v>2</v>
      </c>
      <c r="F5" s="11"/>
    </row>
    <row r="6" spans="1:6" ht="24" customHeight="1" x14ac:dyDescent="0.25">
      <c r="A6" s="11"/>
      <c r="B6" s="11"/>
      <c r="C6" s="11"/>
      <c r="D6" s="11"/>
      <c r="E6" s="11"/>
      <c r="F6" s="11"/>
    </row>
    <row r="7" spans="1:6" x14ac:dyDescent="0.25">
      <c r="A7" s="7"/>
      <c r="B7" s="7"/>
      <c r="C7" s="7"/>
      <c r="D7" s="7"/>
      <c r="E7" s="7"/>
      <c r="F7" s="7"/>
    </row>
    <row r="8" spans="1:6" ht="24" customHeight="1" x14ac:dyDescent="0.25">
      <c r="A8" s="12" t="s">
        <v>34</v>
      </c>
      <c r="B8" s="12"/>
      <c r="C8" s="12"/>
      <c r="D8" s="12"/>
      <c r="E8" s="12"/>
      <c r="F8" s="12"/>
    </row>
    <row r="9" spans="1:6" ht="26.1" customHeight="1" x14ac:dyDescent="0.25">
      <c r="A9" s="5" t="s">
        <v>130</v>
      </c>
      <c r="B9" s="5"/>
      <c r="C9" s="5"/>
      <c r="D9" s="5"/>
      <c r="E9" s="5"/>
      <c r="F9" s="5"/>
    </row>
    <row r="10" spans="1:6" ht="26.1" customHeight="1" x14ac:dyDescent="0.25">
      <c r="A10" s="5"/>
      <c r="B10" s="5"/>
      <c r="C10" s="5"/>
      <c r="D10" s="5"/>
      <c r="E10" s="5"/>
      <c r="F10" s="5"/>
    </row>
    <row r="11" spans="1:6" ht="26.1" customHeight="1" x14ac:dyDescent="0.25">
      <c r="A11" s="5"/>
      <c r="B11" s="5"/>
      <c r="C11" s="5"/>
      <c r="D11" s="5"/>
      <c r="E11" s="5"/>
      <c r="F11" s="5"/>
    </row>
    <row r="12" spans="1:6" x14ac:dyDescent="0.25">
      <c r="A12" s="7"/>
      <c r="B12" s="7"/>
      <c r="C12" s="7"/>
      <c r="D12" s="7"/>
      <c r="E12" s="7"/>
      <c r="F12" s="7"/>
    </row>
    <row r="13" spans="1:6" ht="24" customHeight="1" x14ac:dyDescent="0.25">
      <c r="A13" s="12" t="s">
        <v>129</v>
      </c>
      <c r="B13" s="12"/>
      <c r="C13" s="12"/>
      <c r="D13" s="12"/>
      <c r="E13" s="12"/>
      <c r="F13" s="12"/>
    </row>
    <row r="14" spans="1:6" ht="24" customHeight="1" x14ac:dyDescent="0.25">
      <c r="A14" s="13" t="s">
        <v>84</v>
      </c>
      <c r="B14" s="13" t="s">
        <v>128</v>
      </c>
      <c r="C14" s="13" t="s">
        <v>127</v>
      </c>
      <c r="D14" s="13" t="s">
        <v>126</v>
      </c>
      <c r="E14" s="13" t="s">
        <v>125</v>
      </c>
      <c r="F14" s="13" t="s">
        <v>124</v>
      </c>
    </row>
    <row r="15" spans="1:6" ht="40.5" x14ac:dyDescent="0.25">
      <c r="A15" s="14" t="s">
        <v>83</v>
      </c>
      <c r="B15" s="14" t="s">
        <v>123</v>
      </c>
      <c r="C15" s="14" t="s">
        <v>122</v>
      </c>
      <c r="D15" s="14" t="s">
        <v>121</v>
      </c>
      <c r="E15" s="15">
        <f t="shared" ref="E15:E28" si="0">IF(C15="","",LEN(C15)-LEN(SUBSTITUTE(C15,";",""))+1)</f>
        <v>2</v>
      </c>
      <c r="F15" s="14" t="s">
        <v>120</v>
      </c>
    </row>
    <row r="16" spans="1:6" ht="27" x14ac:dyDescent="0.25">
      <c r="A16" s="14" t="s">
        <v>83</v>
      </c>
      <c r="B16" s="14" t="s">
        <v>64</v>
      </c>
      <c r="C16" s="14" t="s">
        <v>12</v>
      </c>
      <c r="D16" s="14" t="s">
        <v>119</v>
      </c>
      <c r="E16" s="15">
        <f t="shared" si="0"/>
        <v>1</v>
      </c>
      <c r="F16" s="14" t="s">
        <v>118</v>
      </c>
    </row>
    <row r="17" spans="1:6" ht="27" x14ac:dyDescent="0.25">
      <c r="A17" s="14" t="s">
        <v>83</v>
      </c>
      <c r="B17" s="14" t="s">
        <v>117</v>
      </c>
      <c r="C17" s="14" t="s">
        <v>8</v>
      </c>
      <c r="D17" s="14" t="s">
        <v>116</v>
      </c>
      <c r="E17" s="15">
        <f t="shared" si="0"/>
        <v>1</v>
      </c>
      <c r="F17" s="14" t="s">
        <v>115</v>
      </c>
    </row>
    <row r="18" spans="1:6" ht="40.5" x14ac:dyDescent="0.25">
      <c r="A18" s="14" t="s">
        <v>83</v>
      </c>
      <c r="B18" s="14" t="s">
        <v>114</v>
      </c>
      <c r="C18" s="14" t="s">
        <v>13</v>
      </c>
      <c r="D18" s="14" t="s">
        <v>113</v>
      </c>
      <c r="E18" s="15">
        <f t="shared" si="0"/>
        <v>1</v>
      </c>
      <c r="F18" s="14" t="s">
        <v>112</v>
      </c>
    </row>
    <row r="19" spans="1:6" ht="27" x14ac:dyDescent="0.25">
      <c r="A19" s="14" t="s">
        <v>83</v>
      </c>
      <c r="B19" s="14" t="s">
        <v>111</v>
      </c>
      <c r="C19" s="14" t="s">
        <v>5</v>
      </c>
      <c r="D19" s="14" t="s">
        <v>110</v>
      </c>
      <c r="E19" s="15">
        <f t="shared" si="0"/>
        <v>1</v>
      </c>
      <c r="F19" s="14" t="s">
        <v>109</v>
      </c>
    </row>
    <row r="20" spans="1:6" ht="27" x14ac:dyDescent="0.25">
      <c r="A20" s="14" t="s">
        <v>83</v>
      </c>
      <c r="B20" s="14" t="s">
        <v>65</v>
      </c>
      <c r="C20" s="14" t="s">
        <v>5</v>
      </c>
      <c r="D20" s="14" t="s">
        <v>108</v>
      </c>
      <c r="E20" s="15">
        <f t="shared" si="0"/>
        <v>1</v>
      </c>
      <c r="F20" s="14" t="s">
        <v>107</v>
      </c>
    </row>
    <row r="21" spans="1:6" ht="27" x14ac:dyDescent="0.25">
      <c r="A21" s="14" t="s">
        <v>82</v>
      </c>
      <c r="B21" s="14" t="s">
        <v>106</v>
      </c>
      <c r="C21" s="14" t="s">
        <v>105</v>
      </c>
      <c r="D21" s="14" t="s">
        <v>104</v>
      </c>
      <c r="E21" s="15">
        <f t="shared" si="0"/>
        <v>2</v>
      </c>
      <c r="F21" s="14" t="s">
        <v>103</v>
      </c>
    </row>
    <row r="22" spans="1:6" ht="27" x14ac:dyDescent="0.25">
      <c r="A22" s="14" t="s">
        <v>82</v>
      </c>
      <c r="B22" s="14" t="s">
        <v>67</v>
      </c>
      <c r="C22" s="14" t="s">
        <v>2</v>
      </c>
      <c r="D22" s="14" t="s">
        <v>102</v>
      </c>
      <c r="E22" s="15">
        <f t="shared" si="0"/>
        <v>1</v>
      </c>
      <c r="F22" s="14" t="s">
        <v>101</v>
      </c>
    </row>
    <row r="23" spans="1:6" ht="27" x14ac:dyDescent="0.25">
      <c r="A23" s="14" t="s">
        <v>82</v>
      </c>
      <c r="B23" s="14" t="s">
        <v>100</v>
      </c>
      <c r="C23" s="14" t="s">
        <v>0</v>
      </c>
      <c r="D23" s="14" t="s">
        <v>99</v>
      </c>
      <c r="E23" s="15">
        <f t="shared" si="0"/>
        <v>1</v>
      </c>
      <c r="F23" s="14" t="s">
        <v>98</v>
      </c>
    </row>
    <row r="24" spans="1:6" ht="40.5" x14ac:dyDescent="0.25">
      <c r="A24" s="14" t="s">
        <v>81</v>
      </c>
      <c r="B24" s="14" t="s">
        <v>18</v>
      </c>
      <c r="C24" s="14" t="s">
        <v>1</v>
      </c>
      <c r="D24" s="14" t="s">
        <v>97</v>
      </c>
      <c r="E24" s="15">
        <f t="shared" si="0"/>
        <v>1</v>
      </c>
      <c r="F24" s="14" t="s">
        <v>96</v>
      </c>
    </row>
    <row r="25" spans="1:6" ht="40.5" x14ac:dyDescent="0.25">
      <c r="A25" s="14" t="s">
        <v>81</v>
      </c>
      <c r="B25" s="14" t="s">
        <v>95</v>
      </c>
      <c r="C25" s="14" t="s">
        <v>3</v>
      </c>
      <c r="D25" s="14" t="s">
        <v>94</v>
      </c>
      <c r="E25" s="15">
        <f t="shared" si="0"/>
        <v>1</v>
      </c>
      <c r="F25" s="14" t="s">
        <v>93</v>
      </c>
    </row>
    <row r="26" spans="1:6" ht="27" x14ac:dyDescent="0.25">
      <c r="A26" s="14" t="s">
        <v>81</v>
      </c>
      <c r="B26" s="14" t="s">
        <v>92</v>
      </c>
      <c r="C26" s="14" t="s">
        <v>6</v>
      </c>
      <c r="D26" s="14" t="s">
        <v>91</v>
      </c>
      <c r="E26" s="15">
        <f t="shared" si="0"/>
        <v>1</v>
      </c>
      <c r="F26" s="14" t="s">
        <v>90</v>
      </c>
    </row>
    <row r="27" spans="1:6" ht="27" x14ac:dyDescent="0.25">
      <c r="A27" s="14" t="s">
        <v>80</v>
      </c>
      <c r="B27" s="14" t="s">
        <v>89</v>
      </c>
      <c r="C27" s="14" t="s">
        <v>0</v>
      </c>
      <c r="D27" s="14" t="s">
        <v>88</v>
      </c>
      <c r="E27" s="15">
        <f t="shared" si="0"/>
        <v>1</v>
      </c>
      <c r="F27" s="14" t="s">
        <v>87</v>
      </c>
    </row>
    <row r="28" spans="1:6" ht="40.5" x14ac:dyDescent="0.25">
      <c r="A28" s="14" t="s">
        <v>80</v>
      </c>
      <c r="B28" s="14" t="s">
        <v>60</v>
      </c>
      <c r="C28" s="14" t="s">
        <v>0</v>
      </c>
      <c r="D28" s="14" t="s">
        <v>86</v>
      </c>
      <c r="E28" s="15">
        <f t="shared" si="0"/>
        <v>1</v>
      </c>
      <c r="F28" s="14" t="s">
        <v>85</v>
      </c>
    </row>
    <row r="29" spans="1:6" x14ac:dyDescent="0.25">
      <c r="A29" s="1"/>
      <c r="B29" s="1"/>
      <c r="C29" s="1"/>
      <c r="D29" s="1"/>
      <c r="E29" s="1"/>
      <c r="F29" s="1"/>
    </row>
    <row r="30" spans="1:6" x14ac:dyDescent="0.25">
      <c r="A30" s="1"/>
      <c r="B30" s="1"/>
      <c r="C30" s="1"/>
      <c r="D30" s="1"/>
      <c r="E30" s="1"/>
      <c r="F30" s="1"/>
    </row>
    <row r="31" spans="1:6" ht="21.95" customHeight="1" x14ac:dyDescent="0.25">
      <c r="A31" s="6"/>
      <c r="B31" s="6"/>
      <c r="C31" s="6"/>
      <c r="D31" s="6"/>
      <c r="E31" s="6"/>
      <c r="F31" s="6"/>
    </row>
    <row r="32" spans="1:6" x14ac:dyDescent="0.25">
      <c r="A32" s="4"/>
      <c r="B32" s="4"/>
      <c r="C32" s="4"/>
      <c r="D32" s="1"/>
      <c r="E32" s="1"/>
      <c r="F32" s="1"/>
    </row>
    <row r="33" spans="1:6" x14ac:dyDescent="0.25">
      <c r="A33" s="1"/>
      <c r="B33" s="3"/>
      <c r="C33" s="2"/>
      <c r="D33" s="1"/>
      <c r="E33" s="1"/>
      <c r="F33" s="1"/>
    </row>
    <row r="34" spans="1:6" x14ac:dyDescent="0.25">
      <c r="A34" s="1"/>
      <c r="B34" s="3"/>
      <c r="C34" s="2"/>
      <c r="D34" s="1"/>
      <c r="E34" s="1"/>
      <c r="F34" s="1"/>
    </row>
    <row r="35" spans="1:6" x14ac:dyDescent="0.25">
      <c r="A35" s="1"/>
      <c r="B35" s="3"/>
      <c r="C35" s="2"/>
      <c r="D35" s="1"/>
      <c r="E35" s="1"/>
      <c r="F35" s="1"/>
    </row>
    <row r="36" spans="1:6" x14ac:dyDescent="0.25">
      <c r="A36" s="1"/>
      <c r="B36" s="3"/>
      <c r="C36" s="2"/>
      <c r="D36" s="1"/>
      <c r="E36" s="1"/>
      <c r="F36" s="1"/>
    </row>
  </sheetData>
  <mergeCells count="11">
    <mergeCell ref="A1:F1"/>
    <mergeCell ref="A2:F2"/>
    <mergeCell ref="A4:B4"/>
    <mergeCell ref="A5:B6"/>
    <mergeCell ref="C4:D4"/>
    <mergeCell ref="C5:D6"/>
    <mergeCell ref="E4:F4"/>
    <mergeCell ref="E5:F6"/>
    <mergeCell ref="A8:F8"/>
    <mergeCell ref="A9:F11"/>
    <mergeCell ref="A13:F13"/>
  </mergeCells>
  <conditionalFormatting sqref="E15:E28">
    <cfRule type="expression" dxfId="18" priority="1">
      <formula>E15&gt;1</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248C8-696F-4269-BE39-8E9C62D203A0}">
  <dimension ref="A1:H24"/>
  <sheetViews>
    <sheetView showGridLines="0" workbookViewId="0">
      <selection activeCell="C26" sqref="C26"/>
    </sheetView>
  </sheetViews>
  <sheetFormatPr defaultRowHeight="15" x14ac:dyDescent="0.25"/>
  <cols>
    <col min="1" max="2" width="20" customWidth="1"/>
    <col min="3" max="3" width="23.85546875" customWidth="1"/>
    <col min="4" max="4" width="38.140625" customWidth="1"/>
    <col min="5" max="5" width="4.5703125" customWidth="1"/>
    <col min="6" max="6" width="8.5703125" customWidth="1"/>
    <col min="7" max="7" width="22.85546875" customWidth="1"/>
    <col min="8" max="8" width="14.28515625" customWidth="1"/>
  </cols>
  <sheetData>
    <row r="1" spans="1:8" ht="32.1" customHeight="1" x14ac:dyDescent="0.25">
      <c r="A1" s="8" t="s">
        <v>29</v>
      </c>
      <c r="B1" s="8"/>
      <c r="C1" s="8"/>
      <c r="D1" s="8"/>
      <c r="E1" s="8"/>
      <c r="F1" s="8"/>
      <c r="G1" s="8"/>
      <c r="H1" s="8"/>
    </row>
    <row r="2" spans="1:8" ht="24" customHeight="1" x14ac:dyDescent="0.25">
      <c r="A2" s="9" t="s">
        <v>30</v>
      </c>
      <c r="B2" s="9"/>
      <c r="C2" s="9"/>
      <c r="D2" s="9"/>
      <c r="E2" s="9"/>
      <c r="F2" s="9"/>
      <c r="G2" s="9"/>
      <c r="H2" s="9"/>
    </row>
    <row r="3" spans="1:8" x14ac:dyDescent="0.25">
      <c r="A3" s="7"/>
      <c r="B3" s="7"/>
      <c r="C3" s="7"/>
      <c r="D3" s="7"/>
      <c r="E3" s="7"/>
      <c r="F3" s="7"/>
      <c r="G3" s="7"/>
      <c r="H3" s="7"/>
    </row>
    <row r="4" spans="1:8" x14ac:dyDescent="0.25">
      <c r="A4" s="10" t="s">
        <v>31</v>
      </c>
      <c r="B4" s="10"/>
      <c r="C4" s="10" t="s">
        <v>32</v>
      </c>
      <c r="D4" s="10"/>
      <c r="E4" s="7"/>
      <c r="F4" s="10" t="s">
        <v>33</v>
      </c>
      <c r="G4" s="10"/>
      <c r="H4" s="10"/>
    </row>
    <row r="5" spans="1:8" ht="24" customHeight="1" x14ac:dyDescent="0.25">
      <c r="A5" s="16" t="s">
        <v>19</v>
      </c>
      <c r="B5" s="16"/>
      <c r="C5" s="11">
        <f>COUNTA(B13:B24)</f>
        <v>12</v>
      </c>
      <c r="D5" s="18"/>
      <c r="E5" s="7"/>
      <c r="F5" s="11">
        <f>COUNTA(G13:G24)</f>
        <v>12</v>
      </c>
      <c r="G5" s="18"/>
      <c r="H5" s="18"/>
    </row>
    <row r="6" spans="1:8" ht="24" customHeight="1" thickBot="1" x14ac:dyDescent="0.3">
      <c r="A6" s="17"/>
      <c r="B6" s="17"/>
      <c r="C6" s="19"/>
      <c r="D6" s="19"/>
      <c r="E6" s="7"/>
      <c r="F6" s="19"/>
      <c r="G6" s="19"/>
      <c r="H6" s="19"/>
    </row>
    <row r="7" spans="1:8" ht="15.75" thickTop="1" x14ac:dyDescent="0.25">
      <c r="A7" s="7"/>
      <c r="B7" s="7"/>
      <c r="C7" s="7"/>
      <c r="D7" s="7"/>
      <c r="E7" s="7"/>
      <c r="F7" s="7"/>
      <c r="G7" s="7"/>
      <c r="H7" s="7"/>
    </row>
    <row r="8" spans="1:8" ht="24" customHeight="1" x14ac:dyDescent="0.25">
      <c r="A8" s="12" t="s">
        <v>34</v>
      </c>
      <c r="B8" s="12"/>
      <c r="C8" s="12"/>
      <c r="D8" s="12"/>
      <c r="E8" s="12"/>
      <c r="F8" s="12"/>
      <c r="G8" s="12"/>
      <c r="H8" s="12"/>
    </row>
    <row r="9" spans="1:8" ht="30" customHeight="1" x14ac:dyDescent="0.25">
      <c r="A9" s="5" t="s">
        <v>35</v>
      </c>
      <c r="B9" s="5"/>
      <c r="C9" s="5"/>
      <c r="D9" s="5"/>
      <c r="E9" s="5"/>
      <c r="F9" s="5"/>
      <c r="G9" s="5"/>
      <c r="H9" s="5"/>
    </row>
    <row r="10" spans="1:8" ht="30" customHeight="1" x14ac:dyDescent="0.25">
      <c r="A10" s="5"/>
      <c r="B10" s="5"/>
      <c r="C10" s="5"/>
      <c r="D10" s="5"/>
      <c r="E10" s="5"/>
      <c r="F10" s="5"/>
      <c r="G10" s="5"/>
      <c r="H10" s="5"/>
    </row>
    <row r="11" spans="1:8" x14ac:dyDescent="0.25">
      <c r="A11" s="7"/>
      <c r="B11" s="7"/>
      <c r="C11" s="7"/>
      <c r="D11" s="7"/>
      <c r="E11" s="7"/>
      <c r="F11" s="7"/>
      <c r="G11" s="7"/>
      <c r="H11" s="7"/>
    </row>
    <row r="12" spans="1:8" ht="24" customHeight="1" x14ac:dyDescent="0.25">
      <c r="A12" s="13" t="s">
        <v>36</v>
      </c>
      <c r="B12" s="13" t="s">
        <v>37</v>
      </c>
      <c r="C12" s="13" t="s">
        <v>38</v>
      </c>
      <c r="D12" s="13" t="s">
        <v>39</v>
      </c>
      <c r="E12" s="7"/>
      <c r="F12" s="20" t="s">
        <v>57</v>
      </c>
      <c r="G12" s="20"/>
      <c r="H12" s="20"/>
    </row>
    <row r="13" spans="1:8" x14ac:dyDescent="0.25">
      <c r="A13" s="14" t="s">
        <v>40</v>
      </c>
      <c r="B13" s="14" t="s">
        <v>0</v>
      </c>
      <c r="C13" s="14" t="s">
        <v>20</v>
      </c>
      <c r="D13" s="14" t="s">
        <v>41</v>
      </c>
      <c r="E13" s="7"/>
      <c r="F13" s="21">
        <v>1</v>
      </c>
      <c r="G13" s="22" t="s">
        <v>58</v>
      </c>
      <c r="H13" s="23" t="s">
        <v>59</v>
      </c>
    </row>
    <row r="14" spans="1:8" x14ac:dyDescent="0.25">
      <c r="A14" s="14" t="s">
        <v>42</v>
      </c>
      <c r="B14" s="14" t="s">
        <v>4</v>
      </c>
      <c r="C14" s="14" t="s">
        <v>21</v>
      </c>
      <c r="D14" s="14" t="s">
        <v>43</v>
      </c>
      <c r="E14" s="7"/>
      <c r="F14" s="24">
        <v>2</v>
      </c>
      <c r="G14" s="25" t="s">
        <v>21</v>
      </c>
      <c r="H14" s="26" t="s">
        <v>59</v>
      </c>
    </row>
    <row r="15" spans="1:8" ht="27" x14ac:dyDescent="0.25">
      <c r="A15" s="14" t="s">
        <v>44</v>
      </c>
      <c r="B15" s="14" t="s">
        <v>5</v>
      </c>
      <c r="C15" s="14" t="s">
        <v>22</v>
      </c>
      <c r="D15" s="14" t="s">
        <v>45</v>
      </c>
      <c r="E15" s="7"/>
      <c r="F15" s="24">
        <v>3</v>
      </c>
      <c r="G15" s="25" t="s">
        <v>25</v>
      </c>
      <c r="H15" s="26" t="s">
        <v>59</v>
      </c>
    </row>
    <row r="16" spans="1:8" x14ac:dyDescent="0.25">
      <c r="A16" s="14" t="s">
        <v>40</v>
      </c>
      <c r="B16" s="14" t="s">
        <v>7</v>
      </c>
      <c r="C16" s="14" t="s">
        <v>23</v>
      </c>
      <c r="D16" s="14" t="s">
        <v>46</v>
      </c>
      <c r="E16" s="7"/>
      <c r="F16" s="24">
        <v>4</v>
      </c>
      <c r="G16" s="25" t="s">
        <v>60</v>
      </c>
      <c r="H16" s="26" t="s">
        <v>59</v>
      </c>
    </row>
    <row r="17" spans="1:8" x14ac:dyDescent="0.25">
      <c r="A17" s="14" t="s">
        <v>47</v>
      </c>
      <c r="B17" s="14" t="s">
        <v>8</v>
      </c>
      <c r="C17" s="14" t="s">
        <v>24</v>
      </c>
      <c r="D17" s="14" t="s">
        <v>48</v>
      </c>
      <c r="E17" s="7"/>
      <c r="F17" s="24">
        <v>5</v>
      </c>
      <c r="G17" s="25" t="s">
        <v>61</v>
      </c>
      <c r="H17" s="26" t="s">
        <v>59</v>
      </c>
    </row>
    <row r="18" spans="1:8" x14ac:dyDescent="0.25">
      <c r="A18" s="14" t="s">
        <v>47</v>
      </c>
      <c r="B18" s="14" t="s">
        <v>9</v>
      </c>
      <c r="C18" s="14" t="s">
        <v>25</v>
      </c>
      <c r="D18" s="14" t="s">
        <v>49</v>
      </c>
      <c r="E18" s="7"/>
      <c r="F18" s="24">
        <v>6</v>
      </c>
      <c r="G18" s="25" t="s">
        <v>23</v>
      </c>
      <c r="H18" s="26" t="s">
        <v>59</v>
      </c>
    </row>
    <row r="19" spans="1:8" x14ac:dyDescent="0.25">
      <c r="A19" s="14" t="s">
        <v>47</v>
      </c>
      <c r="B19" s="14" t="s">
        <v>10</v>
      </c>
      <c r="C19" s="14" t="s">
        <v>25</v>
      </c>
      <c r="D19" s="14" t="s">
        <v>50</v>
      </c>
      <c r="E19" s="7"/>
      <c r="F19" s="24">
        <v>7</v>
      </c>
      <c r="G19" s="25" t="s">
        <v>62</v>
      </c>
      <c r="H19" s="26" t="s">
        <v>59</v>
      </c>
    </row>
    <row r="20" spans="1:8" x14ac:dyDescent="0.25">
      <c r="A20" s="14" t="s">
        <v>44</v>
      </c>
      <c r="B20" s="14" t="s">
        <v>12</v>
      </c>
      <c r="C20" s="14" t="s">
        <v>26</v>
      </c>
      <c r="D20" s="14" t="s">
        <v>51</v>
      </c>
      <c r="E20" s="7"/>
      <c r="F20" s="24">
        <v>8</v>
      </c>
      <c r="G20" s="25" t="s">
        <v>63</v>
      </c>
      <c r="H20" s="26" t="s">
        <v>59</v>
      </c>
    </row>
    <row r="21" spans="1:8" x14ac:dyDescent="0.25">
      <c r="A21" s="14" t="s">
        <v>42</v>
      </c>
      <c r="B21" s="14" t="s">
        <v>14</v>
      </c>
      <c r="C21" s="14" t="s">
        <v>21</v>
      </c>
      <c r="D21" s="14" t="s">
        <v>52</v>
      </c>
      <c r="E21" s="7"/>
      <c r="F21" s="24">
        <v>9</v>
      </c>
      <c r="G21" s="25" t="s">
        <v>27</v>
      </c>
      <c r="H21" s="26" t="s">
        <v>59</v>
      </c>
    </row>
    <row r="22" spans="1:8" x14ac:dyDescent="0.25">
      <c r="A22" s="14" t="s">
        <v>53</v>
      </c>
      <c r="B22" s="14" t="s">
        <v>15</v>
      </c>
      <c r="C22" s="14" t="s">
        <v>27</v>
      </c>
      <c r="D22" s="14" t="s">
        <v>54</v>
      </c>
      <c r="E22" s="7"/>
      <c r="F22" s="24">
        <v>10</v>
      </c>
      <c r="G22" s="25" t="s">
        <v>64</v>
      </c>
      <c r="H22" s="26" t="s">
        <v>59</v>
      </c>
    </row>
    <row r="23" spans="1:8" x14ac:dyDescent="0.25">
      <c r="A23" s="14" t="s">
        <v>53</v>
      </c>
      <c r="B23" s="14" t="s">
        <v>16</v>
      </c>
      <c r="C23" s="14" t="s">
        <v>28</v>
      </c>
      <c r="D23" s="14" t="s">
        <v>55</v>
      </c>
      <c r="E23" s="7"/>
      <c r="F23" s="24">
        <v>11</v>
      </c>
      <c r="G23" s="25" t="s">
        <v>28</v>
      </c>
      <c r="H23" s="26" t="s">
        <v>59</v>
      </c>
    </row>
    <row r="24" spans="1:8" x14ac:dyDescent="0.25">
      <c r="A24" s="14" t="s">
        <v>47</v>
      </c>
      <c r="B24" s="14" t="s">
        <v>17</v>
      </c>
      <c r="C24" s="14" t="s">
        <v>25</v>
      </c>
      <c r="D24" s="14" t="s">
        <v>56</v>
      </c>
      <c r="E24" s="7"/>
      <c r="F24" s="27">
        <v>12</v>
      </c>
      <c r="G24" s="28" t="s">
        <v>65</v>
      </c>
      <c r="H24" s="29" t="s">
        <v>59</v>
      </c>
    </row>
  </sheetData>
  <mergeCells count="11">
    <mergeCell ref="A8:H8"/>
    <mergeCell ref="A9:H10"/>
    <mergeCell ref="F12:H12"/>
    <mergeCell ref="A1:H1"/>
    <mergeCell ref="A2:H2"/>
    <mergeCell ref="A4:B4"/>
    <mergeCell ref="C4:D4"/>
    <mergeCell ref="F4:H4"/>
    <mergeCell ref="A5:B6"/>
    <mergeCell ref="C5:D6"/>
    <mergeCell ref="F5:H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8393C-9AA5-4F16-BACB-36AA12FBE83E}">
  <dimension ref="A1:F25"/>
  <sheetViews>
    <sheetView showGridLines="0" workbookViewId="0">
      <selection activeCell="J19" sqref="J19"/>
    </sheetView>
  </sheetViews>
  <sheetFormatPr defaultRowHeight="15" x14ac:dyDescent="0.25"/>
  <cols>
    <col min="1" max="1" width="27.5703125" customWidth="1"/>
    <col min="2" max="2" width="38.140625" customWidth="1"/>
    <col min="3" max="3" width="4.5703125" customWidth="1"/>
    <col min="4" max="6" width="17.140625" customWidth="1"/>
  </cols>
  <sheetData>
    <row r="1" spans="1:6" ht="32.1" customHeight="1" x14ac:dyDescent="0.25">
      <c r="A1" s="8" t="s">
        <v>79</v>
      </c>
      <c r="B1" s="8"/>
      <c r="C1" s="8"/>
      <c r="D1" s="8"/>
      <c r="E1" s="8"/>
      <c r="F1" s="8"/>
    </row>
    <row r="2" spans="1:6" ht="24" customHeight="1" x14ac:dyDescent="0.25">
      <c r="A2" s="9" t="s">
        <v>78</v>
      </c>
      <c r="B2" s="9"/>
      <c r="C2" s="9"/>
      <c r="D2" s="9"/>
      <c r="E2" s="9"/>
      <c r="F2" s="9"/>
    </row>
    <row r="3" spans="1:6" x14ac:dyDescent="0.25">
      <c r="A3" s="7"/>
      <c r="B3" s="7"/>
      <c r="C3" s="7"/>
      <c r="D3" s="7"/>
      <c r="E3" s="7"/>
      <c r="F3" s="7"/>
    </row>
    <row r="4" spans="1:6" ht="30" x14ac:dyDescent="0.25">
      <c r="A4" s="10" t="s">
        <v>31</v>
      </c>
      <c r="B4" s="10"/>
      <c r="C4" s="7"/>
      <c r="D4" s="30" t="s">
        <v>77</v>
      </c>
      <c r="E4" s="30" t="s">
        <v>76</v>
      </c>
      <c r="F4" s="30" t="s">
        <v>75</v>
      </c>
    </row>
    <row r="5" spans="1:6" ht="24" customHeight="1" x14ac:dyDescent="0.25">
      <c r="A5" s="31" t="s">
        <v>74</v>
      </c>
      <c r="B5" s="31"/>
      <c r="C5" s="7"/>
      <c r="D5" s="11">
        <f>COUNTA(B13:B25)</f>
        <v>13</v>
      </c>
      <c r="E5" s="11" cm="1">
        <f t="array" ref="E5">SUMPRODUCT((B13:B25&lt;&gt;"")*(LEN(B13:B25)-LEN(SUBSTITUTE(B13:B25,";",""))+1))</f>
        <v>16</v>
      </c>
      <c r="F5" s="11">
        <v>153</v>
      </c>
    </row>
    <row r="6" spans="1:6" ht="24" customHeight="1" x14ac:dyDescent="0.25">
      <c r="A6" s="31"/>
      <c r="B6" s="31"/>
      <c r="C6" s="7"/>
      <c r="D6" s="11"/>
      <c r="E6" s="11"/>
      <c r="F6" s="11"/>
    </row>
    <row r="7" spans="1:6" ht="24" customHeight="1" x14ac:dyDescent="0.25">
      <c r="A7" s="12" t="s">
        <v>34</v>
      </c>
      <c r="B7" s="12"/>
      <c r="C7" s="12"/>
      <c r="D7" s="12"/>
      <c r="E7" s="12"/>
      <c r="F7" s="12"/>
    </row>
    <row r="8" spans="1:6" ht="30" customHeight="1" x14ac:dyDescent="0.25">
      <c r="A8" s="5" t="s">
        <v>73</v>
      </c>
      <c r="B8" s="5"/>
      <c r="C8" s="5"/>
      <c r="D8" s="5"/>
      <c r="E8" s="5"/>
      <c r="F8" s="5"/>
    </row>
    <row r="9" spans="1:6" ht="30" customHeight="1" x14ac:dyDescent="0.25">
      <c r="A9" s="5"/>
      <c r="B9" s="5"/>
      <c r="C9" s="5"/>
      <c r="D9" s="5"/>
      <c r="E9" s="5"/>
      <c r="F9" s="5"/>
    </row>
    <row r="10" spans="1:6" x14ac:dyDescent="0.25">
      <c r="A10" s="7"/>
      <c r="B10" s="7"/>
      <c r="C10" s="7"/>
      <c r="D10" s="7"/>
      <c r="E10" s="7"/>
      <c r="F10" s="7"/>
    </row>
    <row r="11" spans="1:6" ht="24" customHeight="1" x14ac:dyDescent="0.25">
      <c r="A11" s="12" t="s">
        <v>72</v>
      </c>
      <c r="B11" s="12"/>
      <c r="C11" s="12"/>
      <c r="D11" s="12"/>
      <c r="E11" s="12"/>
      <c r="F11" s="12"/>
    </row>
    <row r="12" spans="1:6" ht="24" customHeight="1" x14ac:dyDescent="0.25">
      <c r="A12" s="13" t="s">
        <v>71</v>
      </c>
      <c r="B12" s="13" t="s">
        <v>70</v>
      </c>
      <c r="C12" s="7"/>
      <c r="D12" s="32" t="s">
        <v>69</v>
      </c>
      <c r="E12" s="32"/>
      <c r="F12" s="32"/>
    </row>
    <row r="13" spans="1:6" x14ac:dyDescent="0.25">
      <c r="A13" s="14" t="s">
        <v>0</v>
      </c>
      <c r="B13" s="14" t="s">
        <v>61</v>
      </c>
      <c r="C13" s="7"/>
      <c r="D13" s="33" t="s">
        <v>68</v>
      </c>
      <c r="E13" s="33"/>
      <c r="F13" s="33"/>
    </row>
    <row r="14" spans="1:6" x14ac:dyDescent="0.25">
      <c r="A14" s="14" t="s">
        <v>2</v>
      </c>
      <c r="B14" s="14" t="s">
        <v>67</v>
      </c>
      <c r="C14" s="7"/>
      <c r="D14" s="7"/>
      <c r="E14" s="7"/>
      <c r="F14" s="7"/>
    </row>
    <row r="15" spans="1:6" x14ac:dyDescent="0.25">
      <c r="A15" s="14" t="s">
        <v>4</v>
      </c>
      <c r="B15" s="14" t="s">
        <v>21</v>
      </c>
      <c r="C15" s="7"/>
      <c r="D15" s="7"/>
      <c r="E15" s="7"/>
      <c r="F15" s="7"/>
    </row>
    <row r="16" spans="1:6" x14ac:dyDescent="0.25">
      <c r="A16" s="14" t="s">
        <v>5</v>
      </c>
      <c r="B16" s="14" t="s">
        <v>22</v>
      </c>
      <c r="C16" s="7"/>
      <c r="D16" s="7"/>
      <c r="E16" s="7"/>
      <c r="F16" s="7"/>
    </row>
    <row r="17" spans="1:6" x14ac:dyDescent="0.25">
      <c r="A17" s="14" t="s">
        <v>7</v>
      </c>
      <c r="B17" s="14" t="s">
        <v>23</v>
      </c>
      <c r="C17" s="7"/>
      <c r="D17" s="7"/>
      <c r="E17" s="7"/>
      <c r="F17" s="7"/>
    </row>
    <row r="18" spans="1:6" x14ac:dyDescent="0.25">
      <c r="A18" s="14" t="s">
        <v>8</v>
      </c>
      <c r="B18" s="14" t="s">
        <v>24</v>
      </c>
      <c r="C18" s="7"/>
      <c r="D18" s="7"/>
      <c r="E18" s="7"/>
      <c r="F18" s="7"/>
    </row>
    <row r="19" spans="1:6" x14ac:dyDescent="0.25">
      <c r="A19" s="14" t="s">
        <v>9</v>
      </c>
      <c r="B19" s="14" t="s">
        <v>25</v>
      </c>
      <c r="C19" s="7"/>
      <c r="D19" s="7"/>
      <c r="E19" s="7"/>
      <c r="F19" s="7"/>
    </row>
    <row r="20" spans="1:6" x14ac:dyDescent="0.25">
      <c r="A20" s="14" t="s">
        <v>10</v>
      </c>
      <c r="B20" s="14" t="s">
        <v>25</v>
      </c>
      <c r="C20" s="7"/>
      <c r="D20" s="7"/>
      <c r="E20" s="7"/>
      <c r="F20" s="7"/>
    </row>
    <row r="21" spans="1:6" x14ac:dyDescent="0.25">
      <c r="A21" s="14" t="s">
        <v>11</v>
      </c>
      <c r="B21" s="14" t="s">
        <v>66</v>
      </c>
      <c r="C21" s="7"/>
      <c r="D21" s="7"/>
      <c r="E21" s="7"/>
      <c r="F21" s="7"/>
    </row>
    <row r="22" spans="1:6" x14ac:dyDescent="0.25">
      <c r="A22" s="14" t="s">
        <v>12</v>
      </c>
      <c r="B22" s="14" t="s">
        <v>26</v>
      </c>
      <c r="C22" s="7"/>
      <c r="D22" s="7"/>
      <c r="E22" s="7"/>
      <c r="F22" s="7"/>
    </row>
    <row r="23" spans="1:6" x14ac:dyDescent="0.25">
      <c r="A23" s="14" t="s">
        <v>14</v>
      </c>
      <c r="B23" s="14" t="s">
        <v>21</v>
      </c>
      <c r="C23" s="7"/>
      <c r="D23" s="7"/>
      <c r="E23" s="7"/>
      <c r="F23" s="7"/>
    </row>
    <row r="24" spans="1:6" x14ac:dyDescent="0.25">
      <c r="A24" s="14" t="s">
        <v>15</v>
      </c>
      <c r="B24" s="14" t="s">
        <v>27</v>
      </c>
      <c r="C24" s="7"/>
      <c r="D24" s="7"/>
      <c r="E24" s="7"/>
      <c r="F24" s="7"/>
    </row>
    <row r="25" spans="1:6" x14ac:dyDescent="0.25">
      <c r="A25" s="14" t="s">
        <v>17</v>
      </c>
      <c r="B25" s="14" t="s">
        <v>25</v>
      </c>
      <c r="C25" s="7"/>
      <c r="D25" s="7"/>
      <c r="E25" s="7"/>
      <c r="F25" s="7"/>
    </row>
  </sheetData>
  <mergeCells count="12">
    <mergeCell ref="D12:F12"/>
    <mergeCell ref="D13:F13"/>
    <mergeCell ref="A1:F1"/>
    <mergeCell ref="A2:F2"/>
    <mergeCell ref="A7:F7"/>
    <mergeCell ref="A8:F9"/>
    <mergeCell ref="A11:F11"/>
    <mergeCell ref="A4:B4"/>
    <mergeCell ref="A5:B6"/>
    <mergeCell ref="D5:D6"/>
    <mergeCell ref="E5:E6"/>
    <mergeCell ref="F5:F6"/>
  </mergeCells>
  <pageMargins left="0.7" right="0.7" top="0.75" bottom="0.75" header="0.3" footer="0.3"/>
  <tableParts count="1">
    <tablePart r:id="rId1"/>
  </tableParts>
</worksheet>
</file>

<file path=docProps/app.xml><?xml version="1.0" encoding="utf-8"?>
<Properties xmlns="http://schemas.openxmlformats.org/officeDocument/2006/extended-properties" xmlns:ns1="http://schemas.openxmlformats.org/officeDocument/2006/docPropsVTypes">
  <Application>Microsoft Excel</Application>
  <DocSecurity>0</DocSecurity>
  <ScaleCrop>false</ScaleCrop>
  <HeadingPairs>
    <ns1:vector size="2" baseType="variant">
      <ns1:variant>
        <ns1:lpstr>Worksheets</ns1:lpstr>
      </ns1:variant>
      <ns1:variant>
        <ns1:i4>3</ns1:i4>
      </ns1:variant>
    </ns1:vector>
  </HeadingPairs>
  <TitlesOfParts>
    <ns1:vector size="3" baseType="lpstr">
      <ns1:lpstr>Home</ns1:lpstr>
      <ns1:lpstr>Chat</ns1:lpstr>
      <ns1:lpstr>Console</ns1:lpstr>
    </ns1: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Shivam Singh</cp:lastModifiedBy>
  <dcterms:created xsi:type="dcterms:W3CDTF">2026-08-17T20:25:56Z</dcterms:created>
  <dcterms:modified xsi:type="dcterms:W3CDTF">2026-08-17T23:33:24Z</dcterms:modified>
  <dc:title>Mistral Studio - Front-End Technology Stack</dc:title>
  <dc:subject>Technology stack inventory for the Mistral web properties</dc:subject>
  <dc:creator>Shiv, Prospective PMM, Mistral Studio</dc:creator>
  <dc:description>Structured inventory of front-end technologies observed across Mistral web experiences.</dc:description>
  <cp:keywords>mistral-ai, front-end, technology-stack, web-audit</cp:keywords>
</cp:coreProperties>
</file>