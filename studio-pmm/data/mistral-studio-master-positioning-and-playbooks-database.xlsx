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Nagarro\Downloads\mistral-studio-marketing\Data\"/>
    </mc:Choice>
  </mc:AlternateContent>
  <xr:revisionPtr revIDLastSave="0" documentId="13_ncr:20001_{144CD7AE-CCA7-4FCD-B8AB-73AA5C489850}" xr6:coauthVersionLast="47" xr6:coauthVersionMax="47" xr10:uidLastSave="{00000000-0000-0000-0000-000000000000}"/>
  <bookViews>
    <workbookView xWindow="-120" yWindow="-120" windowWidth="29040" windowHeight="15720" tabRatio="781" xr2:uid="{00000000-000D-0000-FFFF-FFFF00000000}"/>
  </bookViews>
  <sheets>
    <sheet name="00 Index" sheetId="1" r:id="rId1"/>
    <sheet name="01 Positioning Doc" sheetId="2" r:id="rId2"/>
    <sheet name="02 Use Case Doc" sheetId="3" r:id="rId3"/>
    <sheet name="03 Battlecards Doc" sheetId="4" r:id="rId4"/>
    <sheet name="04 Use Case Matrix" sheetId="5" r:id="rId5"/>
    <sheet name="05 Competitor Matrix" sheetId="6" r:id="rId6"/>
    <sheet name="06 Messaging Library" sheetId="7" r:id="rId7"/>
    <sheet name="07 Discovery and Eval" sheetId="8" r:id="rId8"/>
    <sheet name="08 Sources" sheetId="9" r:id="rId9"/>
  </sheets>
  <definedNames>
    <definedName name="_xlnm._FilterDatabase" localSheetId="4" hidden="1">'04 Use Case Matrix'!$A$1:$I$8</definedName>
    <definedName name="_xlnm._FilterDatabase" localSheetId="5" hidden="1">'05 Competitor Matrix'!$A$1:$G$10</definedName>
    <definedName name="_xlnm._FilterDatabase" localSheetId="6" hidden="1">'06 Messaging Library'!$A$1:$H$34</definedName>
    <definedName name="_xlnm._FilterDatabase" localSheetId="7" hidden="1">'07 Discovery and Eval'!$A$1:$G$32</definedName>
    <definedName name="_xlnm._FilterDatabase" localSheetId="8" hidden="1">'08 Sources'!$A$1:$C$24</definedName>
    <definedName name="_xlnm.Print_Titles" localSheetId="1">'01 Positioning Doc'!$1:$2</definedName>
    <definedName name="_xlnm.Print_Titles" localSheetId="2">'02 Use Case Doc'!$1:$2</definedName>
    <definedName name="_xlnm.Print_Titles" localSheetId="3">'03 Battlecards Doc'!$1:$2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F16" i="1" s="1"/>
  <c r="F12" i="1"/>
  <c r="F7" i="1"/>
  <c r="F8" i="1"/>
  <c r="F9" i="1"/>
  <c r="F10" i="1"/>
  <c r="F11" i="1"/>
  <c r="F14" i="1"/>
</calcChain>
</file>

<file path=xl/sharedStrings.xml><?xml version="1.0" encoding="utf-8"?>
<sst xmlns="http://schemas.openxmlformats.org/spreadsheetml/2006/main" count="1009" uniqueCount="517">
  <si>
    <t>Mistral Studio GTM Master Workbook</t>
  </si>
  <si>
    <t>Consolidated from all three attached source documents; full source content is retained alongside filterable master views.</t>
  </si>
  <si>
    <t>Positioning_Messaging_Framework.docx</t>
  </si>
  <si>
    <t>Use_case_playbooks.docx</t>
  </si>
  <si>
    <t>Competitive_battlecards.docx</t>
  </si>
  <si>
    <t>Workbook map</t>
  </si>
  <si>
    <t>Complete positioning &amp; messaging document in source order</t>
  </si>
  <si>
    <t>Complete use-case playbook document in source order</t>
  </si>
  <si>
    <t>Complete competitive battlecard document in source order</t>
  </si>
  <si>
    <t>Filterable matrix of all seven use cases</t>
  </si>
  <si>
    <t>Filterable matrix of all nine competitive alternatives</t>
  </si>
  <si>
    <t>All source references/URLs from all three documents</t>
  </si>
  <si>
    <t>Audit-friendly raw transcript of every paragraph and table row from every source document</t>
  </si>
  <si>
    <t>Mistral Studio Positioning &amp; Messaging Framework</t>
  </si>
  <si>
    <t>Single source of truth for how Studio is described, differentiated and activated in market</t>
  </si>
  <si>
    <t>Sections 1–2 set the story, Sections 3–5 turn it into audience-ready language, and Sections 6–7 govern the proof behind it. Anything flagged “Validate first” must be cleared against Section 7 before it reaches a customer.</t>
  </si>
  <si>
    <t>1. Positioning foundation</t>
  </si>
  <si>
    <t>CANONICAL POSITIONING STATEMENT
Move from AI prototypes to governed production agents. Mistral Studio is the production AI platform for enterprises that need to build, iterate, deploy and govern agentic AI systems in one place, with control over models, data and deployment.</t>
  </si>
  <si>
    <t>Element</t>
  </si>
  <si>
    <t>What we say</t>
  </si>
  <si>
    <t>What we never say</t>
  </si>
  <si>
    <t>Category</t>
  </si>
  <si>
    <t>Production agent platform</t>
  </si>
  <si>
    <t>“Chatbot builder”, “copilot”, or “model provider” — these frame Studio as model choice, not operations</t>
  </si>
  <si>
    <t>Target customer</t>
  </si>
  <si>
    <t>Enterprise AI platform teams and builders in regulated or industrial environments</t>
  </si>
  <si>
    <t>“Any team using AI” — no SMB, consumer or general-productivity framing</t>
  </si>
  <si>
    <t>Primary problem</t>
  </si>
  <si>
    <t>The prototype-to-production gap: deployment and governance, not inspiration, is the blocker</t>
  </si>
  <si>
    <t>“Teams don’t know what to build” — buyers already have use cases and pilots</t>
  </si>
  <si>
    <t>Value proposition</t>
  </si>
  <si>
    <t>Studio supplies the platform work — durable workflows, evals, observability, connectors, registry, guardrails, deployment options — so agentic systems survive real enterprise complexity</t>
  </si>
  <si>
    <t>A feature list with no production outcome attached to it</t>
  </si>
  <si>
    <t>Differentiator</t>
  </si>
  <si>
    <t>Open, portable model posture plus end-to-end production controls — frontier capability without surrendering data, deployment or governance</t>
  </si>
  <si>
    <t>Feature-parity or price-comparison claims against a full hyperscaler stack</t>
  </si>
  <si>
    <t>2. Message pillars: build, iterate, deploy, govern</t>
  </si>
  <si>
    <t>Pillar</t>
  </si>
  <si>
    <t>What to say</t>
  </si>
  <si>
    <t>Business value</t>
  </si>
  <si>
    <t>Build</t>
  </si>
  <si>
    <t>Compose agents, workflows, connectors, tools and model calls into reusable AI applications.</t>
  </si>
  <si>
    <t>Faster path from idea to a working system.</t>
  </si>
  <si>
    <t>Iterate</t>
  </si>
  <si>
    <t>Improve quality with evals, judges, datasets, feedback loops and experiments.</t>
  </si>
  <si>
    <t>Fewer regressions and evidence of quality before release.</t>
  </si>
  <si>
    <t>Deploy</t>
  </si>
  <si>
    <t>Run AI workflows in production with tracing, state, scheduling and self-hosted or cloud deployment.</t>
  </si>
  <si>
    <t>Reliability without building bespoke agent infrastructure.</t>
  </si>
  <si>
    <t>Govern</t>
  </si>
  <si>
    <t>Control access, provenance, guardrails, workspaces, registry, lineage and promotion paths.</t>
  </si>
  <si>
    <t>Lower risk and faster security approval.</t>
  </si>
  <si>
    <t>3. Persona playbook</t>
  </si>
  <si>
    <t>Persona</t>
  </si>
  <si>
    <t>Pain to mirror</t>
  </si>
  <si>
    <t>Studio message</t>
  </si>
  <si>
    <t>Next step and evidence</t>
  </si>
  <si>
    <t>Validate first (Sec. 7)</t>
  </si>
  <si>
    <t>AI Engineer</t>
  </si>
  <si>
    <t>Brittle integrations; secrets and OAuth; hard-to-debug tool calls</t>
  </si>
  <si>
    <t>Reliable, reusable agent workflows</t>
  </si>
  <si>
    <t>Quickstart and Playground walkthrough; templates and developer docs</t>
  </si>
  <si>
    <t>Availability — confirm GA features before demoing</t>
  </si>
  <si>
    <t>ML Engineer / Applied Scientist</t>
  </si>
  <si>
    <t>Regressions after model or prompt changes; weak feedback data</t>
  </si>
  <si>
    <t>Repeatable evals, judges, datasets and experiments</t>
  </si>
  <si>
    <t>Eval benchmark kit; experiment guide and judge templates</t>
  </si>
  <si>
    <t>ROI metrics — no benchmark numbers until baselines are approved</t>
  </si>
  <si>
    <t>AI Platform Lead</t>
  </si>
  <si>
    <t>Duplicated effort, inconsistent governance, support burden</t>
  </si>
  <si>
    <t>One shared platform with a reusable registry</t>
  </si>
  <si>
    <t>Architecture workshop; platform reference design</t>
  </si>
  <si>
    <t>Availability; Pricing / packaging</t>
  </si>
  <si>
    <t>CTO / CIO (exec sponsor)</t>
  </si>
  <si>
    <t>Pilots that never scale; lock-in, governance and procurement risk</t>
  </si>
  <si>
    <t>A governed, portable architecture that scales past the pilot</t>
  </si>
  <si>
    <t>Executive briefing; ROI and business-case deck</t>
  </si>
  <si>
    <t>ROI metrics and Pricing — both are blockers</t>
  </si>
  <si>
    <t>Security / Governance / Risk</t>
  </si>
  <si>
    <t>Unclear data flow, secrets, policy enforcement and audit trail</t>
  </si>
  <si>
    <t>Least-privilege access, traceability, moderation and residency</t>
  </si>
  <si>
    <t>Deployment and control demo; security whitepaper</t>
  </si>
  <si>
    <t>Security / compliance — certifications, SLAs, data handling</t>
  </si>
  <si>
    <t>Line-of-Business Owner</t>
  </si>
  <si>
    <t>Cycle time, quality and productivity bottlenecks</t>
  </si>
  <si>
    <t>Faster turnaround, better accuracy, easier knowledge access</t>
  </si>
  <si>
    <t>Use-case workshop and demo; pilot success plan</t>
  </si>
  <si>
    <t>Customer proof; ROI metrics</t>
  </si>
  <si>
    <t>4. Copy library</t>
  </si>
  <si>
    <t>One canonical paragraph, two audience openers. For a one-line description, use the canonical positioning statement in Section 1 verbatim rather than writing a new short form.</t>
  </si>
  <si>
    <t>Block</t>
  </si>
  <si>
    <t>Copy</t>
  </si>
  <si>
    <t>Canonical paragraph (~50 words)</t>
  </si>
  <si>
    <t>Most enterprise AI stalls between the prototype and production. Mistral Studio closes that gap with durable workflows, evals, observability, connectors, a shared registry, guardrails and flexible deployment — so agentic systems run reliably against real processes, on the infrastructure and under the governance the enterprise already requires.</t>
  </si>
  <si>
    <t>Developer opener</t>
  </si>
  <si>
    <t>Build the agent. Test the behavior. Trace the run. Deploy the workflow. Govern the system. Studio takes you from an API script to production without building agent infrastructure yourself.</t>
  </si>
  <si>
    <t>Executive opener</t>
  </si>
  <si>
    <t>Your teams already know how to prototype with AI. Studio is for the harder part: running those prototypes as governed systems inside real enterprise processes.</t>
  </si>
  <si>
    <t>5. Objection handling</t>
  </si>
  <si>
    <t>When the buyer says…</t>
  </si>
  <si>
    <t>How to respond</t>
  </si>
  <si>
    <t>“We can build this with model APIs.”</t>
  </si>
  <si>
    <t>Model APIs are necessary but not sufficient: production agents also need orchestration, state, evals, tracing, governance and deployment control.</t>
  </si>
  <si>
    <t>Platform deep-dive against the four pillars in Section 2</t>
  </si>
  <si>
    <t>Availability / launch tier</t>
  </si>
  <si>
    <t>“We already have a cloud AI platform.”</t>
  </si>
  <si>
    <t>Studio runs alongside that stack and wins where model optionality, sovereignty and portability matter more than defaulting to one cloud ecosystem.</t>
  </si>
  <si>
    <t>Deployment options review against self-hosted, sovereign and cloud paths; Airbus sovereignty story; workspace and deployment documentation. Do not use the Cisco or AXA stories here — see Section 6.</t>
  </si>
  <si>
    <t>Security / compliance; Availability</t>
  </si>
  <si>
    <t>“We are concerned about agent reliability.”</t>
  </si>
  <si>
    <t>Lead with durable workflows, retry and resume, tracing and stateful orchestration — never with generic productivity claims.</t>
  </si>
  <si>
    <t>Durable workflow demo; workflow and durable-agent docs (Appendix)</t>
  </si>
  <si>
    <t>Availability; Customer proof</t>
  </si>
  <si>
    <t>“Security will block this.”</t>
  </si>
  <si>
    <t>Bring security into the first meeting: credential handling, workspaces, guardrails, lineage, audit and deployment options.</t>
  </si>
  <si>
    <t>Joint security session; security whitepaper and workspace documentation</t>
  </si>
  <si>
    <t>Security / compliance</t>
  </si>
  <si>
    <t>6. Customer proof points</t>
  </si>
  <si>
    <t>Studio launched in October 2025, so most Mistral references predate it or run on other products. The Proof type column marks what each story can actually support. Only Studio proof may be presented as evidence of the platform; everything else is Mistral-level proof and must be introduced as such. Clear referenceability and metrics against Section 7 before any external use.</t>
  </si>
  <si>
    <t>Customer (industry)</t>
  </si>
  <si>
    <t>Proof type</t>
  </si>
  <si>
    <t>Value signal</t>
  </si>
  <si>
    <t>Use it for</t>
  </si>
  <si>
    <t>Airbus (aerospace)</t>
  </si>
  <si>
    <t>Studio proof — pending confirmation. Licensed for the full product suite post-launch; confirm Studio is in scope before claiming it.</t>
  </si>
  <si>
    <t>Strict security, sovereignty and on-prem deployment requirements met on trusted infrastructure. No published outcome metrics yet.</t>
  </si>
  <si>
    <t>The sovereignty and deployment-control objection (Section 5)</t>
  </si>
  <si>
    <t>European Patent Office (public sector / IP)</t>
  </si>
  <si>
    <t>Mistral platform proof — not Studio. Document AI with a fine-tuned model, co-built with Mistral's applied team.</t>
  </si>
  <si>
    <t>Over 400k pages/day; lead time from up to five days to minutes; under 1% character recognition error</t>
  </si>
  <si>
    <t>Credibility at enterprise scale — never as evidence that Studio was self-served</t>
  </si>
  <si>
    <t>Cisco (technology / networking)</t>
  </si>
  <si>
    <t>Mistral platform proof — not Studio. Custom on-prem agent announced before Studio existed.</t>
  </si>
  <si>
    <t>Targets up to 20% time reduction, with productivity and customer-satisfaction gains, on on-prem data and fine-tuning</t>
  </si>
  <si>
    <t>Appetite for agents on proprietary data — never as a Studio deployment story</t>
  </si>
  <si>
    <t>ASML (semiconductor manufacturing)</t>
  </si>
  <si>
    <t>Strategic investor — not a customer reference. Disclose the shareholder relationship if cited at all.</t>
  </si>
  <si>
    <t>Frontier AI applied across product, R&amp;D and operations</t>
  </si>
  <si>
    <t>Industrial credibility in analyst and press contexts, with disclosure</t>
  </si>
  <si>
    <t>AXA (financial services / insurance)</t>
  </si>
  <si>
    <t>Do not use in platform conversations. Mistral models inside AXA's own multi-vendor platform.</t>
  </si>
  <si>
    <t>Employee-facing AI delivered while addressing bias, interpretability and carbon footprint</t>
  </si>
  <si>
    <t>Model-selection and regulated-governance conversations only</t>
  </si>
  <si>
    <t>7. Validation gates: claims to clear before use</t>
  </si>
  <si>
    <t>Claim area</t>
  </si>
  <si>
    <t>What to clear before use</t>
  </si>
  <si>
    <t>What it gates</t>
  </si>
  <si>
    <t>GA, beta, private beta and regional availability</t>
  </si>
  <si>
    <t>Demos and any launch copy</t>
  </si>
  <si>
    <t>Customer proof</t>
  </si>
  <si>
    <t>Studio-specific referenceability and approved metrics; adjacent proof must not be presented as Studio proof</t>
  </si>
  <si>
    <t>Section 6 stories and the customer story pack</t>
  </si>
  <si>
    <t>Current certifications, SLAs and data handling language</t>
  </si>
  <si>
    <t>Every enterprise buyer-facing asset</t>
  </si>
  <si>
    <t>Pricing / packaging</t>
  </si>
  <si>
    <t>SKU, workspace, usage, support and deployment pricing</t>
  </si>
  <si>
    <t>Sales deck and battlecards</t>
  </si>
  <si>
    <t>ROI metrics</t>
  </si>
  <si>
    <t>Baselines and approved customer outcomes</t>
  </si>
  <si>
    <t>Any published productivity or time-saving claim</t>
  </si>
  <si>
    <t>Appendix: source references</t>
  </si>
  <si>
    <t>• docs.mistral.ai/studio-api/overview</t>
  </si>
  <si>
    <t>• docs.mistral.ai/studio-api/agents/agents-api</t>
  </si>
  <si>
    <t>• docs.mistral.ai/studio-api/safety-moderation</t>
  </si>
  <si>
    <t>• docs.mistral.ai/studio-api/workflows/building-workflows/workflows</t>
  </si>
  <si>
    <t>• docs.mistral.ai/studio-api/workflows/building-workflows/connectors</t>
  </si>
  <si>
    <t>• docs.mistral.ai/studio-api/workflows/building-workflows/durable_agents</t>
  </si>
  <si>
    <t>• docs.mistral.ai/fr/admin/workspaces/workspaces-in-studio</t>
  </si>
  <si>
    <t>Mistral Studio Use-Case Playbooks</t>
  </si>
  <si>
    <t>Seven field plays for taking a Mistral Studio use case from first signal to governed production</t>
  </si>
  <si>
    <t>Internal working draft
PMM source of truth for Studio field motions. Validate availability, pricing, proof, security and ROI claims before external use.</t>
  </si>
  <si>
    <t>Running any Studio play</t>
  </si>
  <si>
    <t>Every play runs the same four moves below. Learn them once; the playbook tables only tell you what to swap in.</t>
  </si>
  <si>
    <t>1. Signal, question, Studio answer</t>
  </si>
  <si>
    <t>Table 1. What you listen for, what you ask next, and the Studio capability that answers it.</t>
  </si>
  <si>
    <t>Signal you hear</t>
  </si>
  <si>
    <t>Question that qualifies it</t>
  </si>
  <si>
    <t>Where Studio answers</t>
  </si>
  <si>
    <t>"It works in a notebook and dies in production."</t>
  </si>
  <si>
    <t>When a run fails halfway, who restarts it and from which step?</t>
  </si>
  <si>
    <t>Durable agents and workflows — state survives crashes, runs resume from the last completed step.</t>
  </si>
  <si>
    <t>"Every team writes its own integration to the same systems."</t>
  </si>
  <si>
    <t>Which systems must the AI reach, and who owns those credentials?</t>
  </si>
  <si>
    <t>Connectors built once and reused everywhere, with workspace-level access control.</t>
  </si>
  <si>
    <t>"Quality is whoever eyeballs the output that day."</t>
  </si>
  <si>
    <t>How would you prove last week's prompt change didn't make things worse?</t>
  </si>
  <si>
    <t>Judges and campaigns — reproducible scoring against the customer's own benchmarks.</t>
  </si>
  <si>
    <t>"Security and legal review stalls every launch."</t>
  </si>
  <si>
    <t>Who signs off on data residency, and what would make it a yes?</t>
  </si>
  <si>
    <t>Guardrails, moderation and audit trails, with hybrid, dedicated or self-hosted deployment.</t>
  </si>
  <si>
    <t>"We have thirty prototypes and two things live."</t>
  </si>
  <si>
    <t>Which metric turns this pilot into a funded program?</t>
  </si>
  <si>
    <t>Registry with versioning and lineage, so use case two reuses use case one.</t>
  </si>
  <si>
    <t>2. Demo arc</t>
  </si>
  <si>
    <t>1. Intake — start from a real request the customer brought, not a toy prompt.</t>
  </si>
  <si>
    <t>2. Connectors — show the live data source and the permissions behind it.</t>
  </si>
  <si>
    <t>3. Durable run — kill the process mid-run and let it pick up where it stopped.</t>
  </si>
  <si>
    <t>4. Trace and judge — open the execution timeline, then the judge's score for that output.</t>
  </si>
  <si>
    <t>5. Promote — version it in the registry, switch on guardrails, deploy to the customer's environment.</t>
  </si>
  <si>
    <t>3. The one objection</t>
  </si>
  <si>
    <t>"We can prototype this ourselves."</t>
  </si>
  <si>
    <t>Concede it — prototyping is easy, and saying so buys credibility. Then price production: everything in Table 1, running every day, owned by someone. Close on the same point every time: this use case needs state, evidence and control — not another chatbot.</t>
  </si>
  <si>
    <t>4. Next step to land</t>
  </si>
  <si>
    <t>1. Assess
Production AI Readiness Assessment</t>
  </si>
  <si>
    <t>2. Design
Workflow design session with the buying team</t>
  </si>
  <si>
    <t>3. Build
Technical quickstart on the target use case</t>
  </si>
  <si>
    <t>The seven playbooks</t>
  </si>
  <si>
    <t>Pick the motion that matches the account's stated pain, then keep the playbook number when tagging pipeline.</t>
  </si>
  <si>
    <t>Motion A — Automate operations end to end</t>
  </si>
  <si>
    <t>Table 2. Motion A — the win is a durable, multi-step process that survives production.</t>
  </si>
  <si>
    <t>Playbook and wedge</t>
  </si>
  <si>
    <t>Buyer and trigger</t>
  </si>
  <si>
    <t>Studio capabilities</t>
  </si>
  <si>
    <t>Metrics that matter</t>
  </si>
  <si>
    <t>Public proof</t>
  </si>
  <si>
    <t>1. Durable operations agent (service and supply chain)
Run multi-step requests and exception clearing on infrastructure that retries and resumes, with approval steps where policy demands them.</t>
  </si>
  <si>
    <t>Customer service, operations and supply chain. Work spans documents, schedules, systems and approvals.</t>
  </si>
  <si>
    <t>Workflows; Agents; Connectors; Observability; Guardrails</t>
  </si>
  <si>
    <t>Cycle time; containment; exception backlog; manual touches</t>
  </si>
  <si>
    <t>CMA CGM, Cisco, SNCF</t>
  </si>
  <si>
    <t>2. Sales proposal and renewal agent
Draft proposals and renewals from connected account data, scored by judges before a seller ever sends them.</t>
  </si>
  <si>
    <t>Sales Ops, RevOps and GTM leadership. Proposal content is scattered across CRM, pricing and product systems.</t>
  </si>
  <si>
    <t>Agents; Connectors; Workflows; Judges; Guardrails</t>
  </si>
  <si>
    <t>Time to proposal; seller productivity; win-rate lift</t>
  </si>
  <si>
    <t>Cisco</t>
  </si>
  <si>
    <t>Motion B — Put knowledge and documents to work</t>
  </si>
  <si>
    <t>Table 3. Motion B — the win is trusted, traceable answers drawn from scattered content, delivered under enterprise control.</t>
  </si>
  <si>
    <t>3. Governed assistant for knowledge work (desk, field and enterprise-wide)
Ground answers in the customer's own documents and asset knowledge: every answer a citable source, every deployment an audit trail. Start with one department, widen to the workforce.</t>
  </si>
  <si>
    <t>CIO/CDO and risk/security, with platform and field ops as co-sponsors. Expertise sits in scattered docs and in people's heads.</t>
  </si>
  <si>
    <t>RAG; Connectors; Document AI; Workspaces; Guardrails; Deployment options; Registry</t>
  </si>
  <si>
    <t>Answer quality; adoption; first-time fix rate; policy violations</t>
  </si>
  <si>
    <t>Veolia, HSBC, ASML, AXA, Airbus</t>
  </si>
  <si>
    <t>4. Document AI extraction and review
Extract, validate, route and audit information end to end, with evidence at every step.</t>
  </si>
  <si>
    <t>Operations, public sector and legal/IP. High-volume document work is slow and error-prone.</t>
  </si>
  <si>
    <t>Document AI; Workflows; Evals; Tracing</t>
  </si>
  <si>
    <t>Throughput; error rate; lead time; audit completeness</t>
  </si>
  <si>
    <t>European Patent Office, CMA CGM</t>
  </si>
  <si>
    <t>5. Engineering diagnostics and root-cause assistant
Run an agentic diagnostic loop that reasons iteratively toward a root cause.</t>
  </si>
  <si>
    <t>Engineering, manufacturing and platform teams. Logs, docs and incidents are hard to connect.</t>
  </si>
  <si>
    <t>RAG; Agents; Workflows; Observability</t>
  </si>
  <si>
    <t>MTTR; issue detection; root-cause accuracy; hours saved</t>
  </si>
  <si>
    <t>ASML, Stellantis</t>
  </si>
  <si>
    <t>Motion C — Industrialize the platform</t>
  </si>
  <si>
    <t>Table 4. Motion C — the win is one governed way to build, ship and prove AI.</t>
  </si>
  <si>
    <t>6. Developer platform standardization
Replace per-team stacks with one shared Studio operating model built on reusable components.</t>
  </si>
  <si>
    <t>AI platform lead and CTO. Teams build fragmented stacks and duplicate infrastructure.</t>
  </si>
  <si>
    <t>Registry; Workspaces; API management; Observability; Deployment options</t>
  </si>
  <si>
    <t>Reuse; platform toil; time to production; policy compliance</t>
  </si>
  <si>
    <t>No public logo yet — Studio docs</t>
  </si>
  <si>
    <t>7. Evaluation and quality factory
Make quality measurable and comparable before every release.</t>
  </si>
  <si>
    <t>ML engineering and platform leads. Teams cannot confidently compare model, prompt or agent changes.</t>
  </si>
  <si>
    <t>Evals; Judges; Datasets; Campaigns; Dashboards</t>
  </si>
  <si>
    <t>Regression rate; release velocity; quality score; eval coverage</t>
  </si>
  <si>
    <t>No public logo yet — Studio launch post</t>
  </si>
  <si>
    <t>Sources</t>
  </si>
  <si>
    <t>• mistral.ai/products/studio</t>
  </si>
  <si>
    <t>• mistral.ai/news/ai-studio</t>
  </si>
  <si>
    <t>• docs.mistral.ai/studio/workflows/getting-started/overview</t>
  </si>
  <si>
    <t>• docs.mistral.ai/studio/workflows/building-workflows/durable_agents</t>
  </si>
  <si>
    <t>Mistral Studio Competitive Battlecards</t>
  </si>
  <si>
    <t>Objection handling and account-prep guide for sales, SE, CS and partner teams</t>
  </si>
  <si>
    <t>How to use this guide
Section 1 is what we sell. Section 2 is the play you run in every deal. Section 3 is where to press per alternative. Section 4 is the sheet you take into technical discovery. One standing rule: never position Studio as a model API — sell it as the production fabric around the model. Re-verify availability, pricing, customer proof, security, compliance and ROI claims against Section 5 before any external use.</t>
  </si>
  <si>
    <t>1. What we actually sell</t>
  </si>
  <si>
    <t>Studio is the production fabric between a prototype and a governed system: an Agent Runtime that survives failure, Observability that proves whether a change helped, and an AI Registry that controls what ships. Every deal is won or lost on the five criteria below — anchor the evaluation here before anyone opens a model benchmark.</t>
  </si>
  <si>
    <t>Buying criterion</t>
  </si>
  <si>
    <t>What the buyer is really asking</t>
  </si>
  <si>
    <t>Studio proof point</t>
  </si>
  <si>
    <t>Durable agent runtime</t>
  </si>
  <si>
    <t>"What happens when a tool call fails at step 14, or the workflow waits three days for an approval?"</t>
  </si>
  <si>
    <t>Agent Runtime on a Temporal-backed engine: checkpointed state, automatic retries, resume after crash, every step recorded.</t>
  </si>
  <si>
    <t>Evaluation and observability</t>
  </si>
  <si>
    <t>"How do we prove a prompt or model change improved anything — on our benchmarks, not a leaderboard?"</t>
  </si>
  <si>
    <t>Explorer traces every request; Judges score outputs automatically; Campaigns rerun versioned experiments; Datasets turn production traffic into the next eval set.</t>
  </si>
  <si>
    <t>Governance and lineage</t>
  </si>
  <si>
    <t>"Who is allowed to promote an agent, and can we roll it back this afternoon?"</t>
  </si>
  <si>
    <t>AI Registry catalogues models, agents, prompts, datasets and workflows with full lineage, access controls and instant rollback; guardrails and moderation run on every response.</t>
  </si>
  <si>
    <t>Deployment and data residency</t>
  </si>
  <si>
    <t>"Can this run inside our perimeter — and can we move it later without re-architecting?"</t>
  </si>
  <si>
    <t>Hosted, hybrid, dedicated and fully self-hosted or on-prem from one codebase; nothing has to leave the customer perimeter, and the customer owns the data.</t>
  </si>
  <si>
    <t>Model and tool optionality</t>
  </si>
  <si>
    <t>"What is the exit cost when we want a different model, or a tool the vendor doesn't sell?"</t>
  </si>
  <si>
    <t>Open-weight Apache 2.0 models across the Mistral line, plus Connectors that register any MCP server as a governed tool with scoped permissions and human-in-the-loop approval.</t>
  </si>
  <si>
    <t>Table 1. The five criteria to anchor every evaluation on — and the named Studio capability that answers each.</t>
  </si>
  <si>
    <t>2. The standard play</t>
  </si>
  <si>
    <t>Four moves, run in order, against every alternative in Section 3. Only the pressure point in Move 3 changes.</t>
  </si>
  <si>
    <t>Move 1 — Reframe the decision</t>
  </si>
  <si>
    <t>Move the conversation off model benchmarks and onto the operating discipline of running agents in production: what happens after the demo, when the workflow fails, the model changes, the auditor asks and the security team says the data cannot leave. That is the ground Studio is built on.</t>
  </si>
  <si>
    <t>Move 2 — Ask the five qualifying questions</t>
  </si>
  <si>
    <t>1. Which workflows run longer than a single request — across retries, human approvals or overnight waits?</t>
  </si>
  <si>
    <t>2. What evidence do you need before an agent change reaches production, and who produces it today?</t>
  </si>
  <si>
    <t>3. Which data can never leave your perimeter, and which regulator asks you to prove it?</t>
  </si>
  <si>
    <t>4. Who owns promotion and rollback of an agent — and how fast can you revert a bad version?</t>
  </si>
  <si>
    <t>5. How many engineers are you willing to keep on registry, tracing and guardrail plumbing instead of use cases?</t>
  </si>
  <si>
    <t>Move 3 — Answer the objection</t>
  </si>
  <si>
    <t>"That's a strong choice for what it's built for. The question is what happens on day 200 — when the workflow fails mid-run, the model version changes and your auditor wants the trace, inside your own perimeter."</t>
  </si>
  <si>
    <t>Concede their genuine strength first, then widen the criteria to Table 1 and attach one differentiator to a requirement they have already stated. Never claim Studio wins on every dimension, and never argue a single feature on their terms.</t>
  </si>
  <si>
    <t>Move 4 — Close with the same next step</t>
  </si>
  <si>
    <t>Ask for this: an architecture workshop on one real workflow, scored side by side against the five Table 1 criteria — in the customer's own deployment model.</t>
  </si>
  <si>
    <t>3. Competitor landscape</t>
  </si>
  <si>
    <t>Nine alternatives, three buying patterns. Run the Section 2 play in each, and press on the specific opening in the final column — it differs by competitor.</t>
  </si>
  <si>
    <t>3.1 Model-provider platforms</t>
  </si>
  <si>
    <t>Alternative</t>
  </si>
  <si>
    <t>Best-fit buyer</t>
  </si>
  <si>
    <t>They lead with</t>
  </si>
  <si>
    <t>Press here</t>
  </si>
  <si>
    <t>OpenAI Responses and Agents SDK</t>
  </si>
  <si>
    <t>Developers standardizing on OpenAI model quality and shipping speed</t>
  </si>
  <si>
    <t>Frontier model quality, fast-moving SDK, hosted evals and traces</t>
  </si>
  <si>
    <t>No self-hosted or on-prem path, no open weights, and long-running work is the customer's to keep alive — ask what runs when the API is unreachable.</t>
  </si>
  <si>
    <t>Anthropic Claude Platform</t>
  </si>
  <si>
    <t>Enterprises standardizing on Claude and MCP tool workflows</t>
  </si>
  <si>
    <t>Model quality on reasoning and code, deep MCP tool ecosystem</t>
  </si>
  <si>
    <t>MCP is the shared standard, not their moat — Studio governs the same servers as registered Connectors with scoped permissions, plus a registry, rollback and in-perimeter deployment they cannot match.</t>
  </si>
  <si>
    <t>Table 2. Model-provider platforms — strongest on model access, thinnest on deployment control.</t>
  </si>
  <si>
    <t>3.2 Hyperscaler platforms</t>
  </si>
  <si>
    <t>Google Vertex AI and Gemini Enterprise</t>
  </si>
  <si>
    <t>Google Cloud and Workspace-heavy enterprises</t>
  </si>
  <si>
    <t>Gemini quality, Workspace identity and data gravity, one bill</t>
  </si>
  <si>
    <t>The agent layer only runs where GCP runs. Ask what the migration looks like if a business unit lands on another cloud — or in a plant with no external connectivity.</t>
  </si>
  <si>
    <t>Microsoft Azure AI Foundry and Copilot Studio</t>
  </si>
  <si>
    <t>Azure and M365-centric enterprises with an existing EA</t>
  </si>
  <si>
    <t>Bundled commercials, Entra identity, breadth from low-code to Foundry SDK</t>
  </si>
  <si>
    <t>Breadth is fragmentation: Copilot Studio and Foundry are different products with different governance. Ask which one owns the audit trail, and what runs outside Azure.</t>
  </si>
  <si>
    <t>Amazon Bedrock AgentCore</t>
  </si>
  <si>
    <t>AWS-heavy enterprises wanting runtime, security and traces in-account</t>
  </si>
  <si>
    <t>The closest runtime and observability story to ours, plus IAM and VPC familiarity</t>
  </si>
  <si>
    <t>Concede the runtime, then move to ground they cannot hold: on-prem and air-gapped operation, EU sovereignty, and open weights the customer can run after the contract ends.</t>
  </si>
  <si>
    <t>Table 3. Hyperscaler platforms — ecosystem gravity is the pull; the cloud boundary is the opening.</t>
  </si>
  <si>
    <t>3.3 Frameworks and build-your-own</t>
  </si>
  <si>
    <t>LangSmith and LangGraph</t>
  </si>
  <si>
    <t>Engineering teams already committed to a framework-first agent stack</t>
  </si>
  <si>
    <t>Graph orchestration, developer mindshare, tracing and eval tooling</t>
  </si>
  <si>
    <t>It hands over a framework, not an operated platform: no models, no guardrails or moderation, no in-perimeter hosting. Ask who is paged when the graph deadlocks at 2am.</t>
  </si>
  <si>
    <t>LlamaIndex and LlamaCloud</t>
  </si>
  <si>
    <t>Teams whose first use case is document-heavy retrieval</t>
  </si>
  <si>
    <t>Ingestion and parsing depth, large connector library, fast RAG time-to-value</t>
  </si>
  <si>
    <t>Retrieval is one step of the workflow. Ask what happens when the use case grows into multi-step actions needing approvals, rollback and audit evidence.</t>
  </si>
  <si>
    <t>DIY open-source stack</t>
  </si>
  <si>
    <t>Specialized teams that value control over speed</t>
  </si>
  <si>
    <t>Zero licence cost, total control, no vendor dependency</t>
  </si>
  <si>
    <t>Studio runs the same open weights they already trust — so the choice is not control versus lock-in, it is whether they want to build and staff a registry, trace store, judge harness and guardrail layer themselves.</t>
  </si>
  <si>
    <t>Internal enterprise AI platform</t>
  </si>
  <si>
    <t>Large enterprises with a funded platform-engineering team</t>
  </si>
  <si>
    <t>Already built, tailored to internal systems, politically hard to displace</t>
  </si>
  <si>
    <t>Do not attack it — sit under it. Ask how long use case two took versus use case one, and offer Studio as the runtime and registry their platform team stops maintaining.</t>
  </si>
  <si>
    <t>Table 4. Frameworks and build-your-own — the control is real; the operated lifecycle around it is not.</t>
  </si>
  <si>
    <t>4. SE discovery sheet</t>
  </si>
  <si>
    <t>A 45-minute technical discovery call, run after the Move 2 questions have opened the topic. The five sections below are the same five criteria as Table 1, so whatever you capture here maps straight onto the scorecard you propose in Move 4. Ask for specifics — a workflow name, a regulator, a headcount. Answers that stay abstract mean the use case is not yet real.</t>
  </si>
  <si>
    <t>Criterion</t>
  </si>
  <si>
    <t>Ask</t>
  </si>
  <si>
    <t>A qualifying answer sounds like</t>
  </si>
  <si>
    <t>Walk me through your longest agent workflow, step by step. Where does it call an external system? What happens today when step 9 of 14 times out — does the run resume, or does someone restart it by hand? Does any step wait on a human, and for how long?</t>
  </si>
  <si>
    <t>A named multi-step workflow with real tool calls, an approval step measured in hours or days, and an engineer who currently replays failures manually.</t>
  </si>
  <si>
    <t>How did you decide your last prompt change was an improvement? Do you have a labelled eval set for this use case, and where did it come from? When a user reports a bad answer, how long does it take to find that exact request and see what the agent did?</t>
  </si>
  <si>
    <t>"We spot-check by hand" or "we can't reproduce it" — plus no owned eval set, or one built once and never refreshed from production traffic.</t>
  </si>
  <si>
    <t>Who signs off before an agent reaches production, and what do they look at? If we asked today which model version answered a specific customer six weeks ago, could you tell us? What is your rollback procedure, and when did you last use it?</t>
  </si>
  <si>
    <t>A named approver or risk function, an audit or model-inventory obligation they must already satisfy, and a rollback that means redeploying from a branch.</t>
  </si>
  <si>
    <t>Which of the data in this workflow is classified, regulated or contractually restricted? Who in security has to approve an external inference call, and what did they say last time? Is there a site, region or business unit where this must run without external connectivity?</t>
  </si>
  <si>
    <t>A specific regulator or clause, a security veto that has already blocked or delayed a use case, or a location the current vendor cannot reach.</t>
  </si>
  <si>
    <t>Which internal systems must the agent act on, and how are those tools exposed today? What would it take to move this workflow to a different model next quarter? Who decides which tools an agent is permitted to call, and how is that permission enforced?</t>
  </si>
  <si>
    <t>Existing or planned MCP servers, a model swap they have quietly given up on, and tool permissions enforced by convention rather than by the platform.</t>
  </si>
  <si>
    <t>Table 5. Discovery questions by buying criterion — capture answers verbatim; they become the workshop scope.</t>
  </si>
  <si>
    <t>Signals to stop and requalify</t>
  </si>
  <si>
    <t>• Every workflow described is a single request in and a single answer out — there is no runtime problem to solve yet, so sell the eval and registry story or wait.</t>
  </si>
  <si>
    <t>• Nobody in the room can name who approves a production release. You are talking to a prototype team, not a buyer.</t>
  </si>
  <si>
    <t>• Data residency is described as a preference rather than an obligation. Our strongest differentiator carries no weight here.</t>
  </si>
  <si>
    <t>• The incumbent platform is under six months old and unbudgeted for maintenance. The pain has not landed — set a follow-up for after their second use case.</t>
  </si>
  <si>
    <t>Close the call: read back the one workflow they described in most detail, name the criterion it fails on today, and book the architecture workshop against it. Leave with the workflow name, the approver's name and the deployment constraint written down.</t>
  </si>
  <si>
    <t>5. Sources</t>
  </si>
  <si>
    <t>Reference</t>
  </si>
  <si>
    <t>https://openai.com/index/new-tools-for-building-agents/</t>
  </si>
  <si>
    <t>https://docs.anthropic.com/en/docs/agents-and-tools/tool-use/tool-runner-sdk</t>
  </si>
  <si>
    <t>https://docs.cloud.google.com/vertex-ai/generative-ai/docs/agent-engine/evaluate</t>
  </si>
  <si>
    <t>https://azure.microsoft.com/en-us/products/ai-foundry</t>
  </si>
  <si>
    <t>https://aws.amazon.com/about-aws/whats-new/2026/05/bedrock-agentcore-launch-aws-govcloud-us/</t>
  </si>
  <si>
    <t>https://www.langchain.com/langsmith-platform</t>
  </si>
  <si>
    <t>https://docs.llamaindex.ai/en/v0.10.33/understanding/loading/llamahub/</t>
  </si>
  <si>
    <t>https://langchain-ai.github.io/langgraph/concepts/persistence/</t>
  </si>
  <si>
    <t>Mistral Studio (our own claims)</t>
  </si>
  <si>
    <t>https://mistral.ai/news/ai-studio/</t>
  </si>
  <si>
    <t>Table 6. Primary reference per alternative — re-check before quoting capability or availability to a customer.</t>
  </si>
  <si>
    <t>Motion</t>
  </si>
  <si>
    <t>Playbook #</t>
  </si>
  <si>
    <t>Playbook</t>
  </si>
  <si>
    <t>Wedge / Outcome</t>
  </si>
  <si>
    <t>Source document</t>
  </si>
  <si>
    <t>Durable operations agent (service and supply chain)</t>
  </si>
  <si>
    <t>Run multi-step requests and exception clearing on infrastructure that retries and resumes, with approval steps where policy demands them.</t>
  </si>
  <si>
    <t>Sales proposal and renewal agent</t>
  </si>
  <si>
    <t>Draft proposals and renewals from connected account data, scored by judges before a seller ever sends them.</t>
  </si>
  <si>
    <t>Governed assistant for knowledge work (desk, field and enterprise-wide)</t>
  </si>
  <si>
    <t>Ground answers in the customer's own documents and asset knowledge: every answer a citable source, every deployment an audit trail. Start with one department, widen to the workforce.</t>
  </si>
  <si>
    <t>Document AI extraction and review</t>
  </si>
  <si>
    <t>Extract, validate, route and audit information end to end, with evidence at every step.</t>
  </si>
  <si>
    <t>Engineering diagnostics and root-cause assistant</t>
  </si>
  <si>
    <t>Run an agentic diagnostic loop that reasons iteratively toward a root cause.</t>
  </si>
  <si>
    <t>Developer platform standardization</t>
  </si>
  <si>
    <t>Replace per-team stacks with one shared Studio operating model built on reusable components.</t>
  </si>
  <si>
    <t>Evaluation and quality factory</t>
  </si>
  <si>
    <t>Make quality measurable and comparable before every release.</t>
  </si>
  <si>
    <t>Buying pattern</t>
  </si>
  <si>
    <t>Primary reference URL</t>
  </si>
  <si>
    <t>Model-provider platforms</t>
  </si>
  <si>
    <t>Hyperscaler platforms</t>
  </si>
  <si>
    <t>Frameworks and build-your-own</t>
  </si>
  <si>
    <t>CANONICAL POSITIONING STATEMENT</t>
  </si>
  <si>
    <t>Move from AI prototypes to governed production agents. Mistral Studio is the production AI platform for enterprises that need to build, iterate, deploy and govern agentic AI systems in one place, with control over models, data and deployment.</t>
  </si>
  <si>
    <t>2. Message pillars</t>
  </si>
  <si>
    <t>Copy block</t>
  </si>
  <si>
    <t>Objection</t>
  </si>
  <si>
    <t>7. Validation gates</t>
  </si>
  <si>
    <t>Signal</t>
  </si>
  <si>
    <t>Anchor evaluation here before model benchmarks.</t>
  </si>
  <si>
    <t>Which workflows run longer than a single request — across retries, human approvals or overnight waits?</t>
  </si>
  <si>
    <t>What evidence do you need before an agent change reaches production, and who produces it today?</t>
  </si>
  <si>
    <t>Which data can never leave your perimeter, and which regulator asks you to prove it?</t>
  </si>
  <si>
    <t>Who owns promotion and rollback of an agent — and how fast can you revert a bad version?</t>
  </si>
  <si>
    <t>How many engineers are you willing to keep on registry, tracing and guardrail plumbing instead of use cases?</t>
  </si>
  <si>
    <t>Every workflow described is a single request in and a single answer out — there is no runtime problem to solve yet, so sell the eval and registry story or wait.</t>
  </si>
  <si>
    <t>Nobody in the room can name who approves a production release. You are talking to a prototype team, not a buyer.</t>
  </si>
  <si>
    <t>Data residency is described as a preference rather than an obligation. Our strongest differentiator carries no weight here.</t>
  </si>
  <si>
    <t>The incumbent platform is under six months old and unbudgeted for maintenance. The pain has not landed — set a follow-up for after their second use case.</t>
  </si>
  <si>
    <t>Demo step</t>
  </si>
  <si>
    <t>Intake — start from a real request the customer brought, not a toy prompt.</t>
  </si>
  <si>
    <t>Connectors — show the live data source and the permissions behind it.</t>
  </si>
  <si>
    <t>Durable run — kill the process mid-run and let it pick up where it stopped.</t>
  </si>
  <si>
    <t>Trace and judge — open the execution timeline, then the judge's score for that output.</t>
  </si>
  <si>
    <t>Promote — version it in the registry, switch on guardrails, deploy to the customer's environment.</t>
  </si>
  <si>
    <t>1. Assess</t>
  </si>
  <si>
    <t>Production AI Readiness Assessment</t>
  </si>
  <si>
    <t>2. Design</t>
  </si>
  <si>
    <t>Workflow design session with the buying team</t>
  </si>
  <si>
    <t>3. Build</t>
  </si>
  <si>
    <t>Technical quickstart on the target use case</t>
  </si>
  <si>
    <t>Section / Subject</t>
  </si>
  <si>
    <t>Normalized URL</t>
  </si>
  <si>
    <t>https://mistral.ai/products/studio</t>
  </si>
  <si>
    <t>https://mistral.ai/news/ai-studio</t>
  </si>
  <si>
    <t>https://docs.mistral.ai/studio/workflows/getting-started/overview</t>
  </si>
  <si>
    <t>https://docs.mistral.ai/studio/workflows/building-workflows/durable_agents</t>
  </si>
  <si>
    <t>https://docs.mistral.ai/studio-api/workflows/building-workflows/connectors</t>
  </si>
  <si>
    <t>https://docs.mistral.ai/studio-api/safety-moderation</t>
  </si>
  <si>
    <t>https://docs.mistral.ai/fr/admin/workspaces/workspaces-in-studio</t>
  </si>
  <si>
    <t>https://docs.mistral.ai/studio-api/overview</t>
  </si>
  <si>
    <t>https://docs.mistral.ai/studio-api/agents/agents-api</t>
  </si>
  <si>
    <t>https://docs.mistral.ai/studio-api/workflows/building-workflows/workflows</t>
  </si>
  <si>
    <t>https://docs.mistral.ai/studio-api/workflows/building-workflows/durable_agents</t>
  </si>
  <si>
    <t>Sheet</t>
  </si>
  <si>
    <t>What's inside</t>
  </si>
  <si>
    <t>Content rows</t>
  </si>
  <si>
    <t>01 Positioning Doc</t>
  </si>
  <si>
    <t>02 Use Case Doc</t>
  </si>
  <si>
    <t>03 Battlecards Doc</t>
  </si>
  <si>
    <t>04 Use Case Matrix</t>
  </si>
  <si>
    <t>05 Competitor Matrix</t>
  </si>
  <si>
    <t>06 Messaging Library</t>
  </si>
  <si>
    <t>07 Discovery and Eval</t>
  </si>
  <si>
    <t>08 Sources</t>
  </si>
  <si>
    <t>09 Raw Transcript</t>
  </si>
  <si>
    <t>Total content rows</t>
  </si>
  <si>
    <t>Not included</t>
  </si>
  <si>
    <t>DISCOVERY &amp; EVALUATION FIELD GUIDE</t>
  </si>
  <si>
    <t>A practical reference for qualifying production-agent opportunities, running technical discovery, and landing the right next step.</t>
  </si>
  <si>
    <t>1. Listen for buying signals</t>
  </si>
  <si>
    <t>Use the customer’s language to identify the production constraint, then ask the adjacent qualifying question.</t>
  </si>
  <si>
    <t>#</t>
  </si>
  <si>
    <t>Studio response</t>
  </si>
  <si>
    <t>Source</t>
  </si>
  <si>
    <t>2. Anchor the competitive evaluation</t>
  </si>
  <si>
    <t>Move the discussion away from model benchmarks and toward the operating discipline required in production.</t>
  </si>
  <si>
    <t>Buyer question</t>
  </si>
  <si>
    <t>Field action</t>
  </si>
  <si>
    <t>3. Ask the five qualifying questions</t>
  </si>
  <si>
    <t>Run these in order after reframing the decision around production operations.</t>
  </si>
  <si>
    <t>Qualifying question</t>
  </si>
  <si>
    <t>4. Run the SE discovery</t>
  </si>
  <si>
    <t>Ask for named workflows, systems, approvers, regulators, time spans, and current failure-handling practices.</t>
  </si>
  <si>
    <t>Discovery prompt</t>
  </si>
  <si>
    <t>5. Stop and requalify when needed</t>
  </si>
  <si>
    <t>These signals indicate the production need, buyer authority, or differentiator is not yet strong enough.</t>
  </si>
  <si>
    <t>Requalification signal / close action</t>
  </si>
  <si>
    <t>6. Use the five-step demo arc</t>
  </si>
  <si>
    <t>Demonstrate the operating lifecycle on a real customer request rather than a toy prompt.</t>
  </si>
  <si>
    <t>7. Land the next step</t>
  </si>
  <si>
    <t>Choose the commitment that matches the account’s maturity and the evidence gathered in discovery.</t>
  </si>
  <si>
    <t>Stage</t>
  </si>
  <si>
    <t>Customer commitment</t>
  </si>
  <si>
    <t>SOURCE NOTE</t>
  </si>
  <si>
    <t>Content is consolidated from Competitive_battlecards.docx and Use_case_playbooks.docx. Validate availability, pricing, proof, security, compliance, and ROI claims before external use.</t>
  </si>
  <si>
    <t>MISTRAL STUDIO MESSAGING GUIDE</t>
  </si>
  <si>
    <t>Field-ready positioning, persona messages, reusable copy, objection responses, proof discipline, and validation gates.</t>
  </si>
  <si>
    <t>MESSAGE DISCIPLINE</t>
  </si>
  <si>
    <t>Lead with the prototype-to-production gap. Position Studio as the production agent platform—not a chatbot builder or model API. Match the message to the buyer, attach proof carefully, and clear every flagged claim before external use.</t>
  </si>
  <si>
    <t>Use this language to establish the category, buyer, problem, value, and differentiation before discussing individual features.</t>
  </si>
  <si>
    <t>Connect each Studio capability family to the production outcome the buyer values.</t>
  </si>
  <si>
    <t>Mirror the buyer’s pain, deliver the relevant Studio message, and land an evidence-backed next step.</t>
  </si>
  <si>
    <t>Next step / evidence</t>
  </si>
  <si>
    <t>Validate first</t>
  </si>
  <si>
    <t>Use these approved blocks as starting points; adapt only the surrounding context and call to action.</t>
  </si>
  <si>
    <t>Approved copy</t>
  </si>
  <si>
    <t>Concede the valid concern, reframe around production operations, and attach the right proof or next step.</t>
  </si>
  <si>
    <t>Response</t>
  </si>
  <si>
    <t>6. Customer proof discipline</t>
  </si>
  <si>
    <t>Use each story only for the role stated here; adjacent Mistral proof must never be presented as Studio proof.</t>
  </si>
  <si>
    <t>Customer / context</t>
  </si>
  <si>
    <t>Proof status</t>
  </si>
  <si>
    <t>Published detail / outcome</t>
  </si>
  <si>
    <t>Use for</t>
  </si>
  <si>
    <t>Guardrail</t>
  </si>
  <si>
    <t>Use only with stated qualification</t>
  </si>
  <si>
    <t>Treat these as release gates: confirm the claim with the named owner or approved source before customer use.</t>
  </si>
  <si>
    <t>Gate</t>
  </si>
  <si>
    <t>Validate</t>
  </si>
  <si>
    <t>Applies to</t>
  </si>
  <si>
    <t>All content is retained from Positioning_Messaging_Framework.docx. Availability, pricing, customer proof, security/compliance, and ROI claims must be revalidated before external use.</t>
  </si>
  <si>
    <t>Visual guide to positioning, personas, copy, objections, proof and validation gates</t>
  </si>
  <si>
    <t>Visual guide to signals, evaluation criteria, discovery prompts, requalification and next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</si>
</sst>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i/>
      <sz val="10"/>
      <color rgb="FF666666"/>
      <name val="Aptos"/>
    </font>
    <font>
      <b/>
      <sz val="11"/>
      <color rgb="FFFFFFFF"/>
      <name val="Aptos"/>
    </font>
    <font>
      <sz val="12"/>
      <color theme="10"/>
      <name val="Calibri"/>
      <family val="2"/>
      <scheme val="minor"/>
    </font>
    <font>
      <sz val="10"/>
      <color rgb="FF666666"/>
      <name val="Aptos"/>
    </font>
    <font>
      <sz val="9"/>
      <color rgb="FF666666"/>
      <name val="Aptos"/>
    </font>
    <font>
      <b/>
      <sz val="10"/>
      <color rgb="FFFFFFFF"/>
      <name val="Aptos"/>
    </font>
    <font>
      <sz val="9"/>
      <color rgb="FF333333"/>
      <name val="Aptos"/>
    </font>
    <font>
      <sz val="9"/>
      <color rgb="FF0563C1"/>
      <name val="Aptos"/>
    </font>
    <font>
      <b/>
      <sz val="9"/>
      <color theme="1"/>
      <name val="Aptos"/>
    </font>
    <font>
      <b/>
      <sz val="11"/>
      <color rgb="FFFFFFFF"/>
      <name val="Calibri"/>
      <family val="2"/>
      <scheme val="minor"/>
    </font>
    <font>
      <b/>
      <sz val="10"/>
      <color rgb="FF17365D"/>
      <name val="Aptos"/>
    </font>
    <font>
      <b/>
      <sz val="9"/>
      <color rgb="FF666666"/>
      <name val="Aptos"/>
    </font>
    <font>
      <b/>
      <sz val="10"/>
      <color rgb="FF1F1F1F"/>
      <name val="Aptos"/>
    </font>
    <font>
      <sz val="10"/>
      <color rgb="FF1F1F1F"/>
      <name val="Aptos"/>
    </font>
    <font>
      <i/>
      <sz val="10"/>
      <color rgb="FF1F1F1F"/>
      <name val="Aptos"/>
    </font>
    <font>
      <b/>
      <sz val="18"/>
      <color rgb="FFFFFFFF"/>
      <name val="Aptos"/>
    </font>
    <font>
      <b/>
      <sz val="12"/>
      <color rgb="FFFFFFFF"/>
      <name val="Aptos"/>
    </font>
    <font>
      <b/>
      <i/>
      <sz val="10"/>
      <color rgb="FF1F1F1F"/>
      <name val="Aptos"/>
    </font>
    <font>
      <b/>
      <i/>
      <sz val="10"/>
      <color rgb="FF666666"/>
      <name val="Aptos"/>
    </font>
    <font>
      <b/>
      <i/>
      <sz val="9"/>
      <color rgb="FF666666"/>
      <name val="Aptos"/>
    </font>
    <font>
      <i/>
      <sz val="9"/>
      <color rgb="FF666666"/>
      <name val="Aptos"/>
    </font>
    <font>
      <sz val="10"/>
      <color rgb="FF404040"/>
      <name val="Aptos"/>
    </font>
    <font>
      <b/>
      <sz val="10"/>
      <color rgb="FF404040"/>
      <name val="Aptos"/>
    </font>
    <font>
      <b/>
      <sz val="11"/>
      <color rgb="FF17365D"/>
      <name val="Aptos"/>
    </font>
  </fonts>
  <fills count="17">
    <fill>
      <patternFill patternType="none"/>
    </fill>
    <fill>
      <patternFill patternType="gray125"/>
    </fill>
    <fill>
      <patternFill patternType="solid">
        <fgColor rgb="FF17365D"/>
      </patternFill>
    </fill>
    <fill>
      <patternFill patternType="solid">
        <fgColor rgb="FFFCE4D6"/>
      </patternFill>
    </fill>
    <fill>
      <patternFill patternType="solid">
        <fgColor rgb="FFFFFFFF"/>
      </patternFill>
    </fill>
    <fill>
      <patternFill patternType="solid">
        <fgColor rgb="FFDDEBF7"/>
      </patternFill>
    </fill>
    <fill>
      <patternFill patternType="solid">
        <fgColor rgb="FF17365D"/>
        <bgColor indexed="64"/>
      </patternFill>
    </fill>
    <fill>
      <patternFill patternType="solid">
        <fgColor rgb="FFFCE4D6"/>
        <bgColor indexed="64"/>
      </patternFill>
    </fill>
    <fill>
      <patternFill patternType="solid">
        <fgColor rgb="FF2F75B5"/>
        <bgColor indexed="64"/>
      </patternFill>
    </fill>
    <fill>
      <patternFill patternType="solid">
        <fgColor rgb="FFFFFFFF"/>
        <bgColor indexed="64"/>
      </patternFill>
    </fill>
    <fill>
      <patternFill patternType="solid">
        <fgColor rgb="FFD9EAF7"/>
        <bgColor indexed="64"/>
      </patternFill>
    </fill>
    <fill>
      <patternFill patternType="solid">
        <fgColor rgb="FFF3F6FA"/>
        <bgColor indexed="64"/>
      </patternFill>
    </fill>
    <fill>
      <patternFill patternType="solid">
        <fgColor rgb="FF0F6B78"/>
        <bgColor indexed="64"/>
      </patternFill>
    </fill>
    <fill>
      <patternFill patternType="solid">
        <fgColor rgb="FFFAFCFE"/>
        <bgColor indexed="64"/>
      </patternFill>
    </fill>
    <fill>
      <patternFill patternType="solid">
        <fgColor rgb="FFFFF2CC"/>
        <bgColor indexed="64"/>
      </patternFill>
    </fill>
    <fill>
      <patternFill patternType="solid">
        <fgColor rgb="FFE2F0D9"/>
        <bgColor indexed="64"/>
      </patternFill>
    </fill>
    <fill>
      <patternFill patternType="solid">
        <fgColor rgb="FFF7FBFF"/>
        <bgColor indexed="64"/>
      </patternFill>
    </fill>
  </fills>
  <borders count="10">
    <border>
      <left/>
      <right/>
      <top/>
      <bottom/>
      <diagonal/>
    </border>
    <border>
      <left/>
      <right/>
      <top/>
      <bottom style="thin">
        <color rgb="FFD9D9D9"/>
      </bottom>
      <diagonal/>
    </border>
    <border>
      <left/>
      <right/>
      <top/>
      <bottom style="medium">
        <color rgb="FF17365D"/>
      </bottom>
      <diagonal/>
    </border>
    <border>
      <left style="thick">
        <color rgb="FFED7D31"/>
      </left>
      <right/>
      <top/>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
      <left style="medium">
        <color rgb="FF2F75B5"/>
      </left>
      <right/>
      <top/>
      <bottom/>
      <diagonal/>
    </border>
    <border>
      <left style="thin">
        <color rgb="FFD9E2F3"/>
      </left>
      <right/>
      <top style="thin">
        <color rgb="FFD9E2F3"/>
      </top>
      <bottom/>
      <diagonal/>
    </border>
    <border>
      <left/>
      <right style="thin">
        <color rgb="FFD9E2F3"/>
      </right>
      <top style="thin">
        <color rgb="FFD9E2F3"/>
      </top>
      <bottom/>
      <diagonal/>
    </border>
  </borders>
  <cellStyleXfs count="2">
    <xf numFmtId="0" fontId="0" fillId="0" borderId="0"/>
    <xf numFmtId="0" fontId="3" fillId="0" borderId="0"/>
  </cellStyleXfs>
  <cellXfs count="213">
    <xf numFmtId="0" fontId="0" fillId="0" borderId="0" xfId="0"/>
    <xf numFmtId="0" fontId="4" fillId="0" borderId="0" xfId="0" applyFont="1" applyAlignment="1">
      <alignment wrapText="1"/>
    </xf>
    <xf numFmtId="0" fontId="7" fillId="0" borderId="1" xfId="0" applyFont="1" applyBorder="1" applyAlignment="1">
      <alignment horizontal="left" vertical="top" wrapText="1"/>
    </xf>
    <xf numFmtId="0" fontId="6" fillId="6" borderId="2" xfId="0" applyFont="1" applyFill="1" applyBorder="1" applyAlignment="1">
      <alignment horizontal="center" vertical="center" wrapText="1"/>
    </xf>
    <xf numFmtId="0" fontId="8" fillId="0" borderId="0" xfId="1" applyFont="1" applyAlignment="1">
      <alignment horizontal="left" vertical="top" wrapText="1"/>
    </xf>
    <xf numFmtId="0" fontId="9" fillId="0" borderId="0" xfId="0" applyFont="1" applyAlignment="1">
      <alignment horizontal="left" vertical="center" wrapText="1"/>
    </xf>
    <xf numFmtId="0" fontId="0" fillId="0" borderId="0" xfId="0" applyAlignment="1">
      <alignment vertical="center" indent="1"/>
    </xf>
    <xf numFmtId="0" fontId="1" fillId="0" borderId="0" xfId="0" applyFont="1" applyAlignment="1">
      <alignment vertical="center" wrapText="1"/>
    </xf>
    <xf numFmtId="0" fontId="1" fillId="0" borderId="0" xfId="0" applyFont="1" applyAlignment="1">
      <alignment vertical="center" wrapText="1" indent="1"/>
    </xf>
    <xf numFmtId="0" fontId="14" fillId="0" borderId="0" xfId="0" applyFont="1" applyAlignment="1">
      <alignment vertical="center" wrapText="1"/>
    </xf>
    <xf numFmtId="0" fontId="14" fillId="0" borderId="0" xfId="0" applyFont="1" applyAlignment="1">
      <alignment vertical="center"/>
    </xf>
    <xf numFmtId="0" fontId="16" fillId="6" borderId="0" xfId="0" applyFont="1" applyFill="1" applyAlignment="1">
      <alignment vertical="center" indent="1"/>
    </xf>
    <xf numFmtId="0" fontId="16" fillId="6" borderId="0" xfId="0" applyFont="1" applyFill="1" applyAlignment="1">
      <alignment vertical="center"/>
    </xf>
    <xf numFmtId="0" fontId="17" fillId="8" borderId="0" xfId="0" applyFont="1" applyFill="1" applyAlignment="1">
      <alignment vertical="center" indent="1"/>
    </xf>
    <xf numFmtId="0" fontId="11" fillId="10" borderId="0" xfId="0" applyFont="1" applyFill="1" applyAlignment="1">
      <alignment horizontal="center" vertical="center" indent="1"/>
    </xf>
    <xf numFmtId="0" fontId="11" fillId="10" borderId="0" xfId="0" applyFont="1" applyFill="1" applyAlignment="1">
      <alignment horizontal="center" vertical="center" indent="1"/>
    </xf>
    <xf numFmtId="0" fontId="13" fillId="0" borderId="0" xfId="1" applyFont="1" applyAlignment="1">
      <alignment horizontal="left" vertical="center" wrapText="1" indent="1"/>
    </xf>
    <xf numFmtId="1" fontId="14" fillId="0" borderId="0" xfId="0" applyNumberFormat="1" applyFont="1" applyAlignment="1">
      <alignment horizontal="center" vertical="center" wrapText="1"/>
    </xf>
    <xf numFmtId="0" fontId="13" fillId="11" borderId="1" xfId="1" applyFont="1" applyFill="1" applyBorder="1" applyAlignment="1">
      <alignment horizontal="left" vertical="center" wrapText="1" indent="1"/>
    </xf>
    <xf numFmtId="0" fontId="14" fillId="11" borderId="1" xfId="0" applyFont="1" applyFill="1" applyBorder="1" applyAlignment="1">
      <alignment vertical="center" wrapText="1"/>
    </xf>
    <xf numFmtId="3" fontId="1" fillId="11" borderId="1" xfId="0" applyNumberFormat="1" applyFont="1" applyFill="1" applyBorder="1" applyAlignment="1">
      <alignment horizontal="center" vertical="center" wrapText="1"/>
    </xf>
    <xf numFmtId="1" fontId="6" fillId="6" borderId="0" xfId="0" applyNumberFormat="1" applyFont="1" applyFill="1" applyAlignment="1">
      <alignment horizontal="center" vertical="center"/>
    </xf>
    <xf numFmtId="0" fontId="6" fillId="6" borderId="0" xfId="0" applyFont="1" applyFill="1" applyAlignment="1">
      <alignment horizontal="center" vertical="center"/>
    </xf>
    <xf numFmtId="0" fontId="14" fillId="0" borderId="0" xfId="0" applyFont="1" applyAlignment="1">
      <alignment vertical="top" wrapText="1"/>
    </xf>
    <xf numFmtId="0" fontId="13" fillId="6" borderId="0" xfId="0" applyFont="1" applyFill="1" applyBorder="1" applyAlignment="1">
      <alignment horizontal="left" vertical="top" wrapText="1" indent="1"/>
    </xf>
    <xf numFmtId="0" fontId="13" fillId="6" borderId="0" xfId="0" applyFont="1" applyFill="1" applyAlignment="1">
      <alignment horizontal="left" vertical="top" wrapText="1" indent="1"/>
    </xf>
    <xf numFmtId="0" fontId="15" fillId="0" borderId="0" xfId="0" applyFont="1" applyAlignment="1">
      <alignment horizontal="left" vertical="top" wrapText="1" indent="1"/>
    </xf>
    <xf numFmtId="0" fontId="14" fillId="0" borderId="0" xfId="0" applyFont="1" applyAlignment="1">
      <alignment horizontal="left" vertical="top" wrapText="1"/>
    </xf>
    <xf numFmtId="0" fontId="14" fillId="7" borderId="3" xfId="0" applyFont="1" applyFill="1" applyBorder="1" applyAlignment="1">
      <alignment horizontal="left" vertical="top" wrapText="1" indent="1"/>
    </xf>
    <xf numFmtId="0" fontId="14" fillId="7" borderId="0" xfId="0" applyFont="1" applyFill="1" applyBorder="1" applyAlignment="1">
      <alignment horizontal="left" vertical="top" wrapText="1" indent="1"/>
    </xf>
    <xf numFmtId="0" fontId="14" fillId="0" borderId="0" xfId="0" applyFont="1" applyAlignment="1">
      <alignment horizontal="left" vertical="top" wrapText="1" indent="2"/>
    </xf>
    <xf numFmtId="0" fontId="16" fillId="6" borderId="0" xfId="0" applyFont="1" applyFill="1" applyAlignment="1">
      <alignment horizontal="left" vertical="center" wrapText="1" indent="1"/>
    </xf>
    <xf numFmtId="0" fontId="1" fillId="0" borderId="0" xfId="0" applyFont="1" applyAlignment="1">
      <alignment horizontal="left" vertical="center" wrapText="1" indent="1"/>
    </xf>
    <xf numFmtId="0" fontId="17" fillId="8" borderId="0" xfId="0" applyFont="1" applyFill="1" applyAlignment="1">
      <alignment horizontal="left" vertical="center" wrapText="1" indent="1"/>
    </xf>
    <xf numFmtId="0" fontId="11" fillId="10" borderId="1" xfId="0" applyFont="1" applyFill="1" applyBorder="1" applyAlignment="1">
      <alignment horizontal="center" vertical="center" wrapText="1" indent="1"/>
    </xf>
    <xf numFmtId="0" fontId="11" fillId="10" borderId="0" xfId="0" applyFont="1" applyFill="1" applyBorder="1" applyAlignment="1">
      <alignment horizontal="center" vertical="center" wrapText="1" indent="1"/>
    </xf>
    <xf numFmtId="0" fontId="13" fillId="9" borderId="0" xfId="0" applyFont="1" applyFill="1" applyBorder="1" applyAlignment="1">
      <alignment horizontal="left" vertical="top" wrapText="1" indent="1"/>
    </xf>
    <xf numFmtId="0" fontId="14" fillId="9" borderId="0" xfId="0" applyFont="1" applyFill="1" applyBorder="1" applyAlignment="1">
      <alignment horizontal="left" vertical="top" wrapText="1" indent="1"/>
    </xf>
    <xf numFmtId="0" fontId="14" fillId="9" borderId="0" xfId="0" applyFont="1" applyFill="1" applyBorder="1" applyAlignment="1">
      <alignment horizontal="left" vertical="top" wrapText="1" indent="1"/>
    </xf>
    <xf numFmtId="0" fontId="13" fillId="9" borderId="5" xfId="0" applyFont="1" applyFill="1" applyBorder="1" applyAlignment="1">
      <alignment horizontal="left" vertical="top" wrapText="1" indent="1"/>
    </xf>
    <xf numFmtId="0" fontId="14" fillId="9" borderId="5" xfId="0" applyFont="1" applyFill="1" applyBorder="1" applyAlignment="1">
      <alignment horizontal="left" vertical="top" wrapText="1" indent="1"/>
    </xf>
    <xf numFmtId="0" fontId="14" fillId="9" borderId="5" xfId="0" applyFont="1" applyFill="1" applyBorder="1" applyAlignment="1">
      <alignment horizontal="left" vertical="top" wrapText="1" indent="1"/>
    </xf>
    <xf numFmtId="0" fontId="13" fillId="9" borderId="6" xfId="0" applyFont="1" applyFill="1" applyBorder="1" applyAlignment="1">
      <alignment horizontal="left" vertical="top" wrapText="1" indent="1"/>
    </xf>
    <xf numFmtId="0" fontId="14" fillId="9" borderId="6" xfId="0" applyFont="1" applyFill="1" applyBorder="1" applyAlignment="1">
      <alignment horizontal="left" vertical="top" wrapText="1" indent="1"/>
    </xf>
    <xf numFmtId="0" fontId="14" fillId="9" borderId="6" xfId="0" applyFont="1" applyFill="1" applyBorder="1" applyAlignment="1">
      <alignment horizontal="left" vertical="top" wrapText="1" indent="1"/>
    </xf>
    <xf numFmtId="0" fontId="13" fillId="6" borderId="0" xfId="0" applyFont="1" applyFill="1" applyBorder="1" applyAlignment="1">
      <alignment horizontal="left" vertical="top" wrapText="1" indent="1"/>
    </xf>
    <xf numFmtId="0" fontId="14" fillId="0" borderId="0" xfId="0" applyFont="1" applyAlignment="1">
      <alignment horizontal="left" vertical="top" wrapText="1"/>
    </xf>
    <xf numFmtId="0" fontId="14" fillId="3" borderId="0" xfId="0" applyFont="1" applyFill="1" applyAlignment="1">
      <alignment horizontal="left" vertical="top" wrapText="1"/>
    </xf>
    <xf numFmtId="0" fontId="13" fillId="2" borderId="0" xfId="0" applyFont="1" applyFill="1" applyAlignment="1">
      <alignment horizontal="left" vertical="top" wrapText="1" indent="1"/>
    </xf>
    <xf numFmtId="0" fontId="14" fillId="0" borderId="0" xfId="0" applyFont="1" applyAlignment="1">
      <alignment horizontal="left" vertical="top" wrapText="1" indent="1"/>
    </xf>
    <xf numFmtId="0" fontId="14" fillId="0" borderId="0" xfId="0" applyFont="1" applyAlignment="1">
      <alignment horizontal="left" vertical="top" wrapText="1" indent="1"/>
    </xf>
    <xf numFmtId="0" fontId="18" fillId="5" borderId="0" xfId="0" applyFont="1" applyFill="1" applyAlignment="1">
      <alignment horizontal="left" vertical="top" wrapText="1"/>
    </xf>
    <xf numFmtId="0" fontId="16" fillId="6" borderId="0" xfId="0" applyFont="1" applyFill="1" applyAlignment="1">
      <alignment horizontal="left" vertical="center" wrapText="1"/>
    </xf>
    <xf numFmtId="0" fontId="1" fillId="0" borderId="0" xfId="0" applyFont="1" applyAlignment="1">
      <alignment horizontal="left" vertical="center" wrapText="1"/>
    </xf>
    <xf numFmtId="0" fontId="17" fillId="8" borderId="0" xfId="0" applyFont="1" applyFill="1" applyAlignment="1">
      <alignment horizontal="left" vertical="center" wrapText="1" indent="1"/>
    </xf>
    <xf numFmtId="0" fontId="20" fillId="11" borderId="0" xfId="0" applyFont="1" applyFill="1" applyAlignment="1">
      <alignment horizontal="left" vertical="center" wrapText="1"/>
    </xf>
    <xf numFmtId="0" fontId="21" fillId="11" borderId="0" xfId="0" applyFont="1" applyFill="1" applyAlignment="1">
      <alignment horizontal="left" vertical="center" wrapText="1"/>
    </xf>
    <xf numFmtId="0" fontId="21" fillId="11" borderId="0" xfId="0" applyFont="1" applyFill="1" applyAlignment="1">
      <alignment horizontal="left" vertical="center" wrapText="1"/>
    </xf>
    <xf numFmtId="0" fontId="11" fillId="10" borderId="1" xfId="0" applyFont="1" applyFill="1" applyBorder="1" applyAlignment="1">
      <alignment horizontal="center" vertical="center" wrapText="1"/>
    </xf>
    <xf numFmtId="0" fontId="11" fillId="10" borderId="0" xfId="0" applyFont="1" applyFill="1" applyAlignment="1">
      <alignment horizontal="center" vertical="center" wrapText="1"/>
    </xf>
    <xf numFmtId="0" fontId="14" fillId="4" borderId="4" xfId="0" applyFont="1" applyFill="1" applyBorder="1" applyAlignment="1">
      <alignment horizontal="left" vertical="top" wrapText="1"/>
    </xf>
    <xf numFmtId="0" fontId="14" fillId="0" borderId="4" xfId="0" applyFont="1" applyBorder="1" applyAlignment="1">
      <alignment horizontal="left" vertical="top" wrapText="1"/>
    </xf>
    <xf numFmtId="0" fontId="14" fillId="4" borderId="0" xfId="0" applyFont="1" applyFill="1" applyBorder="1" applyAlignment="1">
      <alignment horizontal="left" vertical="top" wrapText="1"/>
    </xf>
    <xf numFmtId="0" fontId="14" fillId="0" borderId="0" xfId="0" applyFont="1" applyBorder="1" applyAlignment="1">
      <alignment horizontal="left" vertical="top" wrapText="1"/>
    </xf>
    <xf numFmtId="0" fontId="14" fillId="4" borderId="5" xfId="0" applyFont="1" applyFill="1" applyBorder="1" applyAlignment="1">
      <alignment horizontal="left" vertical="top" wrapText="1"/>
    </xf>
    <xf numFmtId="0" fontId="14" fillId="0" borderId="5" xfId="0" applyFont="1" applyBorder="1" applyAlignment="1">
      <alignment horizontal="left" vertical="top" wrapText="1"/>
    </xf>
    <xf numFmtId="0" fontId="14" fillId="4" borderId="6" xfId="0" applyFont="1" applyFill="1" applyBorder="1" applyAlignment="1">
      <alignment horizontal="left" vertical="top" wrapText="1"/>
    </xf>
    <xf numFmtId="0" fontId="14" fillId="0" borderId="6" xfId="0" applyFont="1" applyBorder="1" applyAlignment="1">
      <alignment horizontal="left" vertical="top" wrapText="1"/>
    </xf>
    <xf numFmtId="0" fontId="17" fillId="8" borderId="0" xfId="0" applyFont="1" applyFill="1" applyAlignment="1">
      <alignment horizontal="left" vertical="center" wrapText="1"/>
    </xf>
    <xf numFmtId="0" fontId="13" fillId="2" borderId="0" xfId="0" applyFont="1" applyFill="1" applyBorder="1" applyAlignment="1">
      <alignment horizontal="left" vertical="top" wrapText="1"/>
    </xf>
    <xf numFmtId="0" fontId="13" fillId="0" borderId="0" xfId="0" applyFont="1" applyBorder="1" applyAlignment="1">
      <alignment horizontal="left" vertical="top" wrapText="1"/>
    </xf>
    <xf numFmtId="0" fontId="14" fillId="0" borderId="0" xfId="0" applyFont="1" applyBorder="1" applyAlignment="1">
      <alignment horizontal="left" vertical="top" wrapText="1"/>
    </xf>
    <xf numFmtId="0" fontId="14" fillId="0" borderId="5" xfId="0" applyFont="1" applyBorder="1" applyAlignment="1">
      <alignment horizontal="left" vertical="top" wrapText="1"/>
    </xf>
    <xf numFmtId="0" fontId="14" fillId="0" borderId="6" xfId="0" applyFont="1" applyBorder="1" applyAlignment="1">
      <alignment horizontal="left" vertical="top" wrapText="1"/>
    </xf>
    <xf numFmtId="0" fontId="11" fillId="10" borderId="0" xfId="0" applyFont="1" applyFill="1" applyAlignment="1">
      <alignment horizontal="center" vertical="center" wrapText="1"/>
    </xf>
    <xf numFmtId="0" fontId="14" fillId="0" borderId="1" xfId="0" applyFont="1" applyBorder="1" applyAlignment="1">
      <alignment horizontal="left" vertical="top" wrapText="1"/>
    </xf>
    <xf numFmtId="1" fontId="14" fillId="0" borderId="1" xfId="0" applyNumberFormat="1" applyFont="1" applyBorder="1" applyAlignment="1">
      <alignment horizontal="center" vertical="top" wrapText="1"/>
    </xf>
    <xf numFmtId="1" fontId="14" fillId="0" borderId="0" xfId="0" applyNumberFormat="1" applyFont="1" applyBorder="1" applyAlignment="1">
      <alignment horizontal="center" vertical="top" wrapText="1"/>
    </xf>
    <xf numFmtId="0" fontId="6" fillId="6" borderId="2" xfId="0" applyFont="1" applyFill="1" applyBorder="1" applyAlignment="1">
      <alignment horizontal="left" vertical="top" wrapText="1"/>
    </xf>
    <xf numFmtId="0" fontId="14" fillId="0" borderId="0" xfId="1" applyFont="1" applyAlignment="1">
      <alignment horizontal="left" vertical="top" wrapText="1"/>
    </xf>
    <xf numFmtId="0" fontId="16" fillId="6" borderId="0" xfId="0" applyFont="1" applyFill="1" applyAlignment="1">
      <alignment vertical="center" wrapText="1"/>
    </xf>
    <xf numFmtId="0" fontId="2" fillId="12" borderId="0" xfId="0" applyFont="1" applyFill="1" applyAlignment="1">
      <alignment vertical="center" wrapText="1"/>
    </xf>
    <xf numFmtId="0" fontId="22" fillId="11" borderId="0" xfId="0" applyFont="1" applyFill="1" applyBorder="1" applyAlignment="1">
      <alignment vertical="top" wrapText="1"/>
    </xf>
    <xf numFmtId="0" fontId="17" fillId="8" borderId="0" xfId="0" applyFont="1" applyFill="1" applyAlignment="1">
      <alignment vertical="center" wrapText="1"/>
    </xf>
    <xf numFmtId="0" fontId="1" fillId="11" borderId="0" xfId="0" applyFont="1" applyFill="1" applyAlignment="1">
      <alignment vertical="top" wrapText="1"/>
    </xf>
    <xf numFmtId="0" fontId="11" fillId="10" borderId="6" xfId="0" applyFont="1" applyFill="1" applyBorder="1" applyAlignment="1">
      <alignment horizontal="center" vertical="center" wrapText="1"/>
    </xf>
    <xf numFmtId="0" fontId="11" fillId="10" borderId="8" xfId="0" applyFont="1" applyFill="1" applyBorder="1" applyAlignment="1">
      <alignment horizontal="center" vertical="center" wrapText="1"/>
    </xf>
    <xf numFmtId="0" fontId="14" fillId="13" borderId="5" xfId="0" applyFont="1" applyFill="1" applyBorder="1" applyAlignment="1">
      <alignment vertical="top" wrapText="1"/>
    </xf>
    <xf numFmtId="0" fontId="14" fillId="13" borderId="6" xfId="0" applyFont="1" applyFill="1" applyBorder="1" applyAlignment="1">
      <alignment vertical="top" wrapText="1"/>
    </xf>
    <xf numFmtId="0" fontId="14" fillId="0" borderId="5" xfId="0" applyFont="1" applyBorder="1" applyAlignment="1">
      <alignment vertical="top" wrapText="1"/>
    </xf>
    <xf numFmtId="0" fontId="14" fillId="0" borderId="6" xfId="0" applyFont="1" applyBorder="1" applyAlignment="1">
      <alignment vertical="top" wrapText="1"/>
    </xf>
    <xf numFmtId="0" fontId="14" fillId="13" borderId="5" xfId="0" applyFont="1" applyFill="1" applyBorder="1" applyAlignment="1">
      <alignment vertical="top" wrapText="1"/>
    </xf>
    <xf numFmtId="0" fontId="14" fillId="13" borderId="6" xfId="0" applyFont="1" applyFill="1" applyBorder="1" applyAlignment="1">
      <alignment vertical="top" wrapText="1"/>
    </xf>
    <xf numFmtId="0" fontId="14" fillId="0" borderId="5" xfId="0" applyFont="1" applyBorder="1" applyAlignment="1">
      <alignment vertical="top" wrapText="1"/>
    </xf>
    <xf numFmtId="0" fontId="14" fillId="0" borderId="6" xfId="0" applyFont="1" applyBorder="1" applyAlignment="1">
      <alignment vertical="top" wrapText="1"/>
    </xf>
    <xf numFmtId="0" fontId="14" fillId="14" borderId="5" xfId="0" applyFont="1" applyFill="1" applyBorder="1" applyAlignment="1">
      <alignment vertical="top" wrapText="1"/>
    </xf>
    <xf numFmtId="0" fontId="14" fillId="14" borderId="6" xfId="0" applyFont="1" applyFill="1" applyBorder="1" applyAlignment="1">
      <alignment vertical="top" wrapText="1"/>
    </xf>
    <xf numFmtId="0" fontId="14" fillId="14" borderId="6" xfId="0" applyFont="1" applyFill="1" applyBorder="1" applyAlignment="1">
      <alignment vertical="top" wrapText="1"/>
    </xf>
    <xf numFmtId="0" fontId="14" fillId="15" borderId="5" xfId="0" applyFont="1" applyFill="1" applyBorder="1" applyAlignment="1">
      <alignment vertical="top" wrapText="1"/>
    </xf>
    <xf numFmtId="0" fontId="14" fillId="15" borderId="6" xfId="0" applyFont="1" applyFill="1" applyBorder="1" applyAlignment="1">
      <alignment vertical="top" wrapText="1"/>
    </xf>
    <xf numFmtId="0" fontId="14" fillId="0" borderId="4" xfId="0" applyFont="1" applyBorder="1" applyAlignment="1">
      <alignment vertical="top" wrapText="1"/>
    </xf>
    <xf numFmtId="0" fontId="16" fillId="6" borderId="0" xfId="0" applyFont="1" applyFill="1" applyAlignment="1">
      <alignment horizontal="center" vertical="center" wrapText="1"/>
    </xf>
    <xf numFmtId="0" fontId="1" fillId="0" borderId="0" xfId="0" applyFont="1" applyAlignment="1">
      <alignment horizontal="center" vertical="center" wrapText="1"/>
    </xf>
    <xf numFmtId="0" fontId="14" fillId="0" borderId="0" xfId="0" applyFont="1" applyAlignment="1">
      <alignment horizontal="center" vertical="top" wrapText="1"/>
    </xf>
    <xf numFmtId="0" fontId="2" fillId="12" borderId="0" xfId="0" applyFont="1" applyFill="1" applyAlignment="1">
      <alignment horizontal="center" vertical="center" wrapText="1"/>
    </xf>
    <xf numFmtId="0" fontId="22" fillId="11" borderId="7" xfId="0" applyFont="1" applyFill="1" applyBorder="1" applyAlignment="1">
      <alignment horizontal="center" vertical="top" wrapText="1"/>
    </xf>
    <xf numFmtId="0" fontId="17" fillId="8" borderId="0" xfId="0" applyFont="1" applyFill="1" applyAlignment="1">
      <alignment horizontal="center" vertical="center" wrapText="1"/>
    </xf>
    <xf numFmtId="0" fontId="1" fillId="11" borderId="0" xfId="0" applyFont="1" applyFill="1" applyAlignment="1">
      <alignment horizontal="center" vertical="top" wrapText="1"/>
    </xf>
    <xf numFmtId="0" fontId="14" fillId="13" borderId="6" xfId="0" applyFont="1" applyFill="1" applyBorder="1" applyAlignment="1">
      <alignment horizontal="center" vertical="top" wrapText="1"/>
    </xf>
    <xf numFmtId="0" fontId="14" fillId="0" borderId="6" xfId="0" applyFont="1" applyBorder="1" applyAlignment="1">
      <alignment horizontal="center" vertical="top" wrapText="1"/>
    </xf>
    <xf numFmtId="0" fontId="14" fillId="13" borderId="5" xfId="0" applyFont="1" applyFill="1" applyBorder="1" applyAlignment="1">
      <alignment horizontal="center" vertical="top" wrapText="1"/>
    </xf>
    <xf numFmtId="0" fontId="14" fillId="0" borderId="5" xfId="0" applyFont="1" applyBorder="1" applyAlignment="1">
      <alignment horizontal="center" vertical="top" wrapText="1"/>
    </xf>
    <xf numFmtId="0" fontId="14" fillId="14" borderId="6" xfId="0" applyFont="1" applyFill="1" applyBorder="1" applyAlignment="1">
      <alignment horizontal="center" vertical="top" wrapText="1"/>
    </xf>
    <xf numFmtId="0" fontId="14" fillId="15" borderId="5" xfId="0" applyFont="1" applyFill="1" applyBorder="1" applyAlignment="1">
      <alignment horizontal="center" vertical="top" wrapText="1"/>
    </xf>
    <xf numFmtId="0" fontId="14" fillId="15" borderId="6" xfId="0" applyFont="1" applyFill="1" applyBorder="1" applyAlignment="1">
      <alignment horizontal="center" vertical="top" wrapText="1"/>
    </xf>
    <xf numFmtId="0" fontId="14" fillId="0" borderId="4" xfId="0" applyFont="1" applyBorder="1" applyAlignment="1">
      <alignment horizontal="center" vertical="top" wrapText="1"/>
    </xf>
    <xf numFmtId="0" fontId="12" fillId="6" borderId="0" xfId="0" applyFont="1" applyFill="1" applyAlignment="1">
      <alignment vertical="center" wrapText="1"/>
    </xf>
    <xf numFmtId="0" fontId="21" fillId="0" borderId="0" xfId="0" applyFont="1" applyAlignment="1">
      <alignment vertical="center" wrapText="1"/>
    </xf>
    <xf numFmtId="0" fontId="5" fillId="0" borderId="0" xfId="0" applyFont="1" applyAlignment="1">
      <alignment vertical="top" wrapText="1"/>
    </xf>
    <xf numFmtId="0" fontId="12" fillId="12" borderId="0" xfId="0" applyFont="1" applyFill="1" applyAlignment="1">
      <alignment vertical="center" wrapText="1"/>
    </xf>
    <xf numFmtId="0" fontId="5" fillId="11" borderId="0" xfId="0" applyFont="1" applyFill="1" applyBorder="1" applyAlignment="1">
      <alignment vertical="top" wrapText="1"/>
    </xf>
    <xf numFmtId="0" fontId="12" fillId="8" borderId="0" xfId="0" applyFont="1" applyFill="1" applyAlignment="1">
      <alignment vertical="center" wrapText="1"/>
    </xf>
    <xf numFmtId="0" fontId="21" fillId="11" borderId="0" xfId="0" applyFont="1" applyFill="1" applyAlignment="1">
      <alignment vertical="top" wrapText="1"/>
    </xf>
    <xf numFmtId="0" fontId="12" fillId="10" borderId="9" xfId="0" applyFont="1" applyFill="1" applyBorder="1" applyAlignment="1">
      <alignment horizontal="center" vertical="center" wrapText="1"/>
    </xf>
    <xf numFmtId="0" fontId="5" fillId="13" borderId="6" xfId="0" applyFont="1" applyFill="1" applyBorder="1" applyAlignment="1">
      <alignment vertical="top" wrapText="1"/>
    </xf>
    <xf numFmtId="0" fontId="5" fillId="0" borderId="6" xfId="0" applyFont="1" applyBorder="1" applyAlignment="1">
      <alignment vertical="top" wrapText="1"/>
    </xf>
    <xf numFmtId="0" fontId="5" fillId="13" borderId="5" xfId="0" applyFont="1" applyFill="1" applyBorder="1" applyAlignment="1">
      <alignment vertical="top" wrapText="1"/>
    </xf>
    <xf numFmtId="0" fontId="5" fillId="0" borderId="5" xfId="0" applyFont="1" applyBorder="1" applyAlignment="1">
      <alignment vertical="top" wrapText="1"/>
    </xf>
    <xf numFmtId="0" fontId="5" fillId="14" borderId="6" xfId="0" applyFont="1" applyFill="1" applyBorder="1" applyAlignment="1">
      <alignment vertical="top" wrapText="1"/>
    </xf>
    <xf numFmtId="0" fontId="5" fillId="15" borderId="5" xfId="0" applyFont="1" applyFill="1" applyBorder="1" applyAlignment="1">
      <alignment vertical="top" wrapText="1"/>
    </xf>
    <xf numFmtId="0" fontId="5" fillId="15" borderId="6" xfId="0" applyFont="1" applyFill="1" applyBorder="1" applyAlignment="1">
      <alignment vertical="top" wrapText="1"/>
    </xf>
    <xf numFmtId="0" fontId="5" fillId="0" borderId="4" xfId="0" applyFont="1" applyBorder="1" applyAlignment="1">
      <alignment vertical="top" wrapText="1"/>
    </xf>
    <xf numFmtId="0" fontId="19" fillId="0" borderId="0" xfId="0" applyFont="1" applyAlignment="1">
      <alignment vertical="center" wrapText="1"/>
    </xf>
    <xf numFmtId="0" fontId="13" fillId="0" borderId="0" xfId="0" applyFont="1" applyAlignment="1">
      <alignment vertical="top" wrapText="1"/>
    </xf>
    <xf numFmtId="0" fontId="23" fillId="11" borderId="0" xfId="0" applyFont="1" applyFill="1" applyBorder="1" applyAlignment="1">
      <alignment vertical="top" wrapText="1"/>
    </xf>
    <xf numFmtId="0" fontId="19" fillId="11" borderId="0" xfId="0" applyFont="1" applyFill="1" applyAlignment="1">
      <alignment vertical="top" wrapText="1"/>
    </xf>
    <xf numFmtId="0" fontId="13" fillId="13" borderId="6" xfId="0" applyFont="1" applyFill="1" applyBorder="1" applyAlignment="1">
      <alignment vertical="top" wrapText="1"/>
    </xf>
    <xf numFmtId="0" fontId="13" fillId="0" borderId="6" xfId="0" applyFont="1" applyBorder="1" applyAlignment="1">
      <alignment vertical="top" wrapText="1"/>
    </xf>
    <xf numFmtId="0" fontId="13" fillId="13" borderId="5" xfId="0" applyFont="1" applyFill="1" applyBorder="1" applyAlignment="1">
      <alignment vertical="top" wrapText="1"/>
    </xf>
    <xf numFmtId="0" fontId="13" fillId="0" borderId="5" xfId="0" applyFont="1" applyBorder="1" applyAlignment="1">
      <alignment vertical="top" wrapText="1"/>
    </xf>
    <xf numFmtId="0" fontId="13" fillId="13" borderId="6" xfId="0" applyFont="1" applyFill="1" applyBorder="1" applyAlignment="1">
      <alignment vertical="top" wrapText="1"/>
    </xf>
    <xf numFmtId="0" fontId="13" fillId="0" borderId="6" xfId="0" applyFont="1" applyBorder="1" applyAlignment="1">
      <alignment vertical="top" wrapText="1"/>
    </xf>
    <xf numFmtId="0" fontId="13" fillId="13" borderId="5" xfId="0" applyFont="1" applyFill="1" applyBorder="1" applyAlignment="1">
      <alignment vertical="top" wrapText="1"/>
    </xf>
    <xf numFmtId="0" fontId="13" fillId="14" borderId="6" xfId="0" applyFont="1" applyFill="1" applyBorder="1" applyAlignment="1">
      <alignment vertical="top" wrapText="1"/>
    </xf>
    <xf numFmtId="0" fontId="13" fillId="15" borderId="5" xfId="0" applyFont="1" applyFill="1" applyBorder="1" applyAlignment="1">
      <alignment vertical="top" wrapText="1"/>
    </xf>
    <xf numFmtId="0" fontId="13" fillId="0" borderId="5" xfId="0" applyFont="1" applyBorder="1" applyAlignment="1">
      <alignment vertical="top" wrapText="1"/>
    </xf>
    <xf numFmtId="0" fontId="13" fillId="15" borderId="6" xfId="0" applyFont="1" applyFill="1" applyBorder="1" applyAlignment="1">
      <alignment vertical="top" wrapText="1"/>
    </xf>
    <xf numFmtId="0" fontId="13" fillId="15" borderId="5" xfId="0" applyFont="1" applyFill="1" applyBorder="1" applyAlignment="1">
      <alignment vertical="top" wrapText="1"/>
    </xf>
    <xf numFmtId="0" fontId="13" fillId="0" borderId="4" xfId="0" applyFont="1" applyBorder="1" applyAlignment="1">
      <alignment vertical="top" wrapText="1"/>
    </xf>
    <xf numFmtId="0" fontId="14" fillId="15" borderId="0" xfId="0" applyFont="1" applyFill="1" applyBorder="1" applyAlignment="1">
      <alignment vertical="top" wrapText="1"/>
    </xf>
    <xf numFmtId="0" fontId="0" fillId="15" borderId="0" xfId="0" applyFill="1" applyBorder="1"/>
    <xf numFmtId="0" fontId="14" fillId="13" borderId="0" xfId="0" applyFont="1" applyFill="1" applyBorder="1" applyAlignment="1">
      <alignment vertical="top" wrapText="1"/>
    </xf>
    <xf numFmtId="0" fontId="14" fillId="13" borderId="0" xfId="0" applyFont="1" applyFill="1" applyBorder="1" applyAlignment="1">
      <alignment vertical="top" wrapText="1"/>
    </xf>
    <xf numFmtId="0" fontId="14" fillId="16" borderId="0" xfId="0" applyFont="1" applyFill="1" applyBorder="1" applyAlignment="1">
      <alignment vertical="top" wrapText="1"/>
    </xf>
    <xf numFmtId="0" fontId="14" fillId="16" borderId="0" xfId="0" applyFont="1" applyFill="1" applyBorder="1" applyAlignment="1">
      <alignment vertical="top" wrapText="1"/>
    </xf>
    <xf numFmtId="0" fontId="14" fillId="16" borderId="5" xfId="0" applyFont="1" applyFill="1" applyBorder="1" applyAlignment="1">
      <alignment vertical="top" wrapText="1"/>
    </xf>
    <xf numFmtId="0" fontId="14" fillId="16" borderId="5" xfId="0" applyFont="1" applyFill="1" applyBorder="1" applyAlignment="1">
      <alignment vertical="top" wrapText="1"/>
    </xf>
    <xf numFmtId="0" fontId="14" fillId="16" borderId="6" xfId="0" applyFont="1" applyFill="1" applyBorder="1" applyAlignment="1">
      <alignment vertical="top" wrapText="1"/>
    </xf>
    <xf numFmtId="0" fontId="14" fillId="16" borderId="6" xfId="0" applyFont="1" applyFill="1" applyBorder="1" applyAlignment="1">
      <alignment vertical="top" wrapText="1"/>
    </xf>
    <xf numFmtId="0" fontId="14" fillId="14" borderId="0" xfId="0" applyFont="1" applyFill="1" applyBorder="1" applyAlignment="1">
      <alignment vertical="top" wrapText="1"/>
    </xf>
    <xf numFmtId="0" fontId="14" fillId="7" borderId="0" xfId="0" applyFont="1" applyFill="1" applyBorder="1" applyAlignment="1">
      <alignment vertical="top" wrapText="1"/>
    </xf>
    <xf numFmtId="0" fontId="14" fillId="7" borderId="0" xfId="0" applyFont="1" applyFill="1" applyBorder="1" applyAlignment="1">
      <alignment vertical="top" wrapText="1"/>
    </xf>
    <xf numFmtId="0" fontId="14" fillId="7" borderId="5" xfId="0" applyFont="1" applyFill="1" applyBorder="1" applyAlignment="1">
      <alignment vertical="top" wrapText="1"/>
    </xf>
    <xf numFmtId="0" fontId="14" fillId="7" borderId="5" xfId="0" applyFont="1" applyFill="1" applyBorder="1" applyAlignment="1">
      <alignment vertical="top" wrapText="1"/>
    </xf>
    <xf numFmtId="0" fontId="14" fillId="7" borderId="6" xfId="0" applyFont="1" applyFill="1" applyBorder="1" applyAlignment="1">
      <alignment vertical="top" wrapText="1"/>
    </xf>
    <xf numFmtId="0" fontId="14" fillId="7" borderId="6" xfId="0" applyFont="1" applyFill="1" applyBorder="1" applyAlignment="1">
      <alignment vertical="top" wrapText="1"/>
    </xf>
    <xf numFmtId="0" fontId="14" fillId="15" borderId="0" xfId="0" applyFont="1" applyFill="1" applyBorder="1" applyAlignment="1">
      <alignment horizontal="center" vertical="top" wrapText="1"/>
    </xf>
    <xf numFmtId="0" fontId="14" fillId="13" borderId="0" xfId="0" applyFont="1" applyFill="1" applyBorder="1" applyAlignment="1">
      <alignment horizontal="center" vertical="top" wrapText="1"/>
    </xf>
    <xf numFmtId="0" fontId="14" fillId="16" borderId="0" xfId="0" applyFont="1" applyFill="1" applyBorder="1" applyAlignment="1">
      <alignment horizontal="center" vertical="top" wrapText="1"/>
    </xf>
    <xf numFmtId="0" fontId="14" fillId="16" borderId="6" xfId="0" applyFont="1" applyFill="1" applyBorder="1" applyAlignment="1">
      <alignment horizontal="center" vertical="top" wrapText="1"/>
    </xf>
    <xf numFmtId="0" fontId="14" fillId="16" borderId="5" xfId="0" applyFont="1" applyFill="1" applyBorder="1" applyAlignment="1">
      <alignment horizontal="center" vertical="top" wrapText="1"/>
    </xf>
    <xf numFmtId="0" fontId="14" fillId="14" borderId="0" xfId="0" applyFont="1" applyFill="1" applyBorder="1" applyAlignment="1">
      <alignment horizontal="center" vertical="top" wrapText="1"/>
    </xf>
    <xf numFmtId="0" fontId="14" fillId="14" borderId="5" xfId="0" applyFont="1" applyFill="1" applyBorder="1" applyAlignment="1">
      <alignment horizontal="center" vertical="top" wrapText="1"/>
    </xf>
    <xf numFmtId="0" fontId="14" fillId="7" borderId="0" xfId="0" applyFont="1" applyFill="1" applyBorder="1" applyAlignment="1">
      <alignment horizontal="center" vertical="top" wrapText="1"/>
    </xf>
    <xf numFmtId="0" fontId="14" fillId="7" borderId="6" xfId="0" applyFont="1" applyFill="1" applyBorder="1" applyAlignment="1">
      <alignment horizontal="center" vertical="top" wrapText="1"/>
    </xf>
    <xf numFmtId="0" fontId="14" fillId="7" borderId="5" xfId="0" applyFont="1" applyFill="1" applyBorder="1" applyAlignment="1">
      <alignment horizontal="center" vertical="top" wrapText="1"/>
    </xf>
    <xf numFmtId="0" fontId="13" fillId="15" borderId="0" xfId="0" applyFont="1" applyFill="1" applyBorder="1" applyAlignment="1">
      <alignment vertical="top" wrapText="1"/>
    </xf>
    <xf numFmtId="0" fontId="13" fillId="13" borderId="0" xfId="0" applyFont="1" applyFill="1" applyBorder="1" applyAlignment="1">
      <alignment vertical="top" wrapText="1"/>
    </xf>
    <xf numFmtId="0" fontId="13" fillId="16" borderId="0" xfId="0" applyFont="1" applyFill="1" applyBorder="1" applyAlignment="1">
      <alignment vertical="top" wrapText="1"/>
    </xf>
    <xf numFmtId="0" fontId="13" fillId="16" borderId="6" xfId="0" applyFont="1" applyFill="1" applyBorder="1" applyAlignment="1">
      <alignment vertical="top" wrapText="1"/>
    </xf>
    <xf numFmtId="0" fontId="13" fillId="16" borderId="5" xfId="0" applyFont="1" applyFill="1" applyBorder="1" applyAlignment="1">
      <alignment vertical="top" wrapText="1"/>
    </xf>
    <xf numFmtId="0" fontId="13" fillId="14" borderId="0" xfId="0" applyFont="1" applyFill="1" applyBorder="1" applyAlignment="1">
      <alignment vertical="top" wrapText="1"/>
    </xf>
    <xf numFmtId="0" fontId="13" fillId="14" borderId="6" xfId="0" applyFont="1" applyFill="1" applyBorder="1" applyAlignment="1">
      <alignment vertical="top" wrapText="1"/>
    </xf>
    <xf numFmtId="0" fontId="13" fillId="14" borderId="5" xfId="0" applyFont="1" applyFill="1" applyBorder="1" applyAlignment="1">
      <alignment vertical="top" wrapText="1"/>
    </xf>
    <xf numFmtId="0" fontId="13" fillId="7" borderId="0" xfId="0" applyFont="1" applyFill="1" applyBorder="1" applyAlignment="1">
      <alignment vertical="top" wrapText="1"/>
    </xf>
    <xf numFmtId="0" fontId="13" fillId="7" borderId="6" xfId="0" applyFont="1" applyFill="1" applyBorder="1" applyAlignment="1">
      <alignment vertical="top" wrapText="1"/>
    </xf>
    <xf numFmtId="0" fontId="13" fillId="7" borderId="5" xfId="0" applyFont="1" applyFill="1" applyBorder="1" applyAlignment="1">
      <alignment vertical="top" wrapText="1"/>
    </xf>
    <xf numFmtId="0" fontId="12" fillId="10" borderId="0" xfId="0" applyFont="1" applyFill="1" applyAlignment="1">
      <alignment horizontal="center" vertical="center" wrapText="1"/>
    </xf>
    <xf numFmtId="0" fontId="5" fillId="15" borderId="0" xfId="0" applyFont="1" applyFill="1" applyBorder="1" applyAlignment="1">
      <alignment vertical="top" wrapText="1"/>
    </xf>
    <xf numFmtId="0" fontId="5" fillId="13" borderId="0" xfId="0" applyFont="1" applyFill="1" applyBorder="1" applyAlignment="1">
      <alignment vertical="top" wrapText="1"/>
    </xf>
    <xf numFmtId="0" fontId="5" fillId="16" borderId="0" xfId="0" applyFont="1" applyFill="1" applyBorder="1" applyAlignment="1">
      <alignment vertical="top" wrapText="1"/>
    </xf>
    <xf numFmtId="0" fontId="5" fillId="16" borderId="6" xfId="0" applyFont="1" applyFill="1" applyBorder="1" applyAlignment="1">
      <alignment vertical="top" wrapText="1"/>
    </xf>
    <xf numFmtId="0" fontId="5" fillId="16" borderId="5" xfId="0" applyFont="1" applyFill="1" applyBorder="1" applyAlignment="1">
      <alignment vertical="top" wrapText="1"/>
    </xf>
    <xf numFmtId="0" fontId="5" fillId="14" borderId="0" xfId="0" applyFont="1" applyFill="1" applyBorder="1" applyAlignment="1">
      <alignment vertical="top" wrapText="1"/>
    </xf>
    <xf numFmtId="0" fontId="5" fillId="14" borderId="5" xfId="0" applyFont="1" applyFill="1" applyBorder="1" applyAlignment="1">
      <alignment vertical="top" wrapText="1"/>
    </xf>
    <xf numFmtId="0" fontId="5" fillId="7" borderId="0" xfId="0" applyFont="1" applyFill="1" applyBorder="1" applyAlignment="1">
      <alignment vertical="top" wrapText="1"/>
    </xf>
    <xf numFmtId="0" fontId="5" fillId="7" borderId="6" xfId="0" applyFont="1" applyFill="1" applyBorder="1" applyAlignment="1">
      <alignment vertical="top" wrapText="1"/>
    </xf>
    <xf numFmtId="0" fontId="5" fillId="7" borderId="5" xfId="0" applyFont="1" applyFill="1" applyBorder="1" applyAlignment="1">
      <alignment vertical="top" wrapText="1"/>
    </xf>
    <xf numFmtId="0" fontId="13" fillId="11" borderId="0" xfId="0" applyFont="1" applyFill="1" applyBorder="1" applyAlignment="1">
      <alignment horizontal="left" vertical="center" wrapText="1" indent="1"/>
    </xf>
    <xf numFmtId="0" fontId="13" fillId="11" borderId="0" xfId="0" applyFont="1" applyFill="1" applyBorder="1" applyAlignment="1">
      <alignment horizontal="left" vertical="center" wrapText="1"/>
    </xf>
    <xf numFmtId="0" fontId="13" fillId="11" borderId="0" xfId="0" applyFont="1" applyFill="1" applyBorder="1" applyAlignment="1">
      <alignment horizontal="left" vertical="center" wrapText="1"/>
    </xf>
    <xf numFmtId="0" fontId="13" fillId="11" borderId="5" xfId="0" applyFont="1" applyFill="1" applyBorder="1" applyAlignment="1">
      <alignment horizontal="left" vertical="center" wrapText="1" indent="1"/>
    </xf>
    <xf numFmtId="0" fontId="13" fillId="11" borderId="5" xfId="0" applyFont="1" applyFill="1" applyBorder="1" applyAlignment="1">
      <alignment horizontal="left" vertical="center" wrapText="1"/>
    </xf>
    <xf numFmtId="0" fontId="13" fillId="11" borderId="5" xfId="0" applyFont="1" applyFill="1" applyBorder="1" applyAlignment="1">
      <alignment horizontal="left" vertical="center" wrapText="1"/>
    </xf>
    <xf numFmtId="0" fontId="13" fillId="11" borderId="6" xfId="0" applyFont="1" applyFill="1" applyBorder="1" applyAlignment="1">
      <alignment horizontal="left" vertical="center" wrapText="1" indent="1"/>
    </xf>
    <xf numFmtId="0" fontId="13" fillId="11" borderId="6" xfId="0" applyFont="1" applyFill="1" applyBorder="1" applyAlignment="1">
      <alignment horizontal="left" vertical="center" wrapText="1"/>
    </xf>
    <xf numFmtId="0" fontId="13" fillId="11" borderId="6" xfId="0" applyFont="1" applyFill="1" applyBorder="1" applyAlignment="1">
      <alignment horizontal="left" vertical="center" wrapText="1"/>
    </xf>
    <xf numFmtId="0" fontId="24" fillId="10" borderId="0" xfId="0" applyFont="1" applyFill="1" applyAlignment="1">
      <alignment horizontal="left" vertical="center" wrapText="1"/>
    </xf>
    <xf numFmtId="0" fontId="14" fillId="11" borderId="0" xfId="0" applyFont="1" applyFill="1" applyAlignment="1">
      <alignment horizontal="left" vertical="center" wrapText="1"/>
    </xf>
    <xf numFmtId="0" fontId="11" fillId="10" borderId="0" xfId="0" applyFont="1" applyFill="1" applyBorder="1" applyAlignment="1">
      <alignment horizontal="center" vertical="center" wrapText="1"/>
    </xf>
    <xf numFmtId="0" fontId="11" fillId="10" borderId="0" xfId="0" applyFont="1" applyFill="1" applyBorder="1" applyAlignment="1">
      <alignment horizontal="center" vertical="center" wrapText="1"/>
    </xf>
    <xf numFmtId="0" fontId="10" fillId="12" borderId="0" xfId="0" applyFont="1" applyFill="1"/>
    <xf numFmtId="0" fontId="0" fillId="0" borderId="0" xfId="0" applyAlignment="1">
      <alignment vertical="top" wrapText="1"/>
    </xf>
  </cellXfs>
  <cellStyles count="2">
    <cellStyle name="Hyperlink" xfId="1" builtinId="8"/>
    <cellStyle name="Normal" xfId="0" builtinId="0"/>
  </cellStyles>
  <dxfs count="34">
    <dxf>
      <font>
        <u val="none"/>
        <sz val="9"/>
        <color rgb="FF0563C1"/>
        <name val="Aptos"/>
      </font>
      <alignment horizontal="left" vertical="top" wrapText="1" indent="0"/>
    </dxf>
    <dxf>
      <font>
        <b val="0"/>
        <i val="0"/>
        <strike val="0"/>
        <condense val="0"/>
        <extend val="0"/>
        <outline val="0"/>
        <shadow val="0"/>
        <u val="none"/>
        <vertAlign val="baseline"/>
        <sz val="9"/>
        <color rgb="FF333333"/>
        <name val="Aptos"/>
        <scheme val="none"/>
      </font>
      <alignment horizontal="left" vertical="top" textRotation="0" wrapText="1" indent="0" justifyLastLine="0" shrinkToFit="0" readingOrder="0"/>
    </dxf>
    <dxf>
      <font>
        <b/>
        <i val="0"/>
        <strike val="0"/>
        <condense val="0"/>
        <extend val="0"/>
        <outline val="0"/>
        <shadow val="0"/>
        <u val="none"/>
        <vertAlign val="baseline"/>
        <sz val="10"/>
        <color rgb="FFFFFFFF"/>
        <name val="Aptos"/>
        <scheme val="none"/>
      </font>
      <fill>
        <patternFill patternType="solid">
          <fgColor indexed="64"/>
          <bgColor rgb="FF17365D"/>
        </patternFill>
      </fill>
      <alignment horizontal="left" vertical="top" textRotation="0" wrapText="1" indent="0" justifyLastLine="0" shrinkToFit="0" readingOrder="0"/>
    </dxf>
    <dxf>
      <font>
        <b val="0"/>
        <i val="0"/>
        <strike val="0"/>
        <condense val="0"/>
        <extend val="0"/>
        <outline val="0"/>
        <shadow val="0"/>
        <u val="none"/>
        <vertAlign val="baseline"/>
        <sz val="9"/>
        <color rgb="FF333333"/>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9"/>
        <color rgb="FF333333"/>
        <name val="Aptos"/>
        <scheme val="none"/>
      </font>
      <alignment horizontal="left" vertical="top" textRotation="0" wrapText="1" indent="0" justifyLastLine="0" shrinkToFit="0" readingOrder="0"/>
      <border diagonalUp="0" diagonalDown="0">
        <left/>
        <right/>
        <top/>
        <bottom style="thin">
          <color rgb="FFD9D9D9"/>
        </bottom>
        <vertical/>
        <horizontal/>
      </border>
    </dxf>
    <dxf>
      <fill>
        <patternFill patternType="solid">
          <fgColor indexed="64"/>
          <bgColor rgb="FFEAF1F8"/>
        </patternFill>
      </fill>
    </dxf>
    <dxf>
      <font>
        <color rgb="FFC55A11"/>
      </font>
      <fill>
        <patternFill patternType="solid">
          <fgColor indexed="64"/>
          <bgColor rgb="FFFCE4D6"/>
        </patternFill>
      </fill>
    </dxf>
    <dxf>
      <fill>
        <patternFill patternType="solid">
          <fgColor indexed="64"/>
          <bgColor rgb="FFEAF1F8"/>
        </patternFill>
      </fill>
    </dxf>
    <dxf>
      <font>
        <color rgb="FFC55A11"/>
      </font>
      <fill>
        <patternFill patternType="solid">
          <fgColor indexed="64"/>
          <bgColor rgb="FFFCE4D6"/>
        </patternFill>
      </fill>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sz val="10"/>
        <color rgb="FF1F1F1F"/>
        <name val="Aptos"/>
      </font>
      <alignment horizontal="left" vertical="top" wrapText="1" indent="0"/>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i val="0"/>
        <strike val="0"/>
        <condense val="0"/>
        <extend val="0"/>
        <outline val="0"/>
        <shadow val="0"/>
        <u val="none"/>
        <vertAlign val="baseline"/>
        <sz val="10"/>
        <color rgb="FFFFFFFF"/>
        <name val="Aptos"/>
        <scheme val="none"/>
      </font>
      <fill>
        <patternFill patternType="solid">
          <fgColor indexed="64"/>
          <bgColor rgb="FF17365D"/>
        </patternFill>
      </fill>
      <alignment horizontal="center" vertical="center" textRotation="0" wrapText="1" indent="0" justifyLastLine="0" shrinkToFit="0" readingOrder="0"/>
    </dxf>
    <dxf>
      <font>
        <b val="0"/>
        <i val="0"/>
        <strike val="0"/>
        <condense val="0"/>
        <extend val="0"/>
        <outline val="0"/>
        <shadow val="0"/>
        <u val="none"/>
        <vertAlign val="baseline"/>
        <sz val="10"/>
        <color rgb="FF1F1F1F"/>
        <name val="Aptos"/>
        <scheme val="none"/>
      </font>
      <numFmt numFmtId="1" formatCode="0"/>
      <alignment horizontal="center"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val="0"/>
        <i val="0"/>
        <strike val="0"/>
        <condense val="0"/>
        <extend val="0"/>
        <outline val="0"/>
        <shadow val="0"/>
        <u val="none"/>
        <vertAlign val="baseline"/>
        <sz val="10"/>
        <color rgb="FF1F1F1F"/>
        <name val="Aptos"/>
        <scheme val="none"/>
      </font>
      <alignment horizontal="left" vertical="top" textRotation="0" wrapText="1" indent="0" justifyLastLine="0" shrinkToFit="0" readingOrder="0"/>
      <border diagonalUp="0" diagonalDown="0">
        <left/>
        <right/>
        <top/>
        <bottom style="thin">
          <color rgb="FFD9D9D9"/>
        </bottom>
        <vertical/>
        <horizontal/>
      </border>
    </dxf>
    <dxf>
      <font>
        <b/>
        <i val="0"/>
        <strike val="0"/>
        <condense val="0"/>
        <extend val="0"/>
        <outline val="0"/>
        <shadow val="0"/>
        <u val="none"/>
        <vertAlign val="baseline"/>
        <sz val="10"/>
        <color rgb="FFFFFFFF"/>
        <name val="Aptos"/>
        <scheme val="none"/>
      </font>
      <fill>
        <patternFill patternType="solid">
          <fgColor indexed="64"/>
          <bgColor rgb="FF17365D"/>
        </patternFill>
      </fill>
      <alignment horizontal="center" vertical="center" textRotation="0" wrapText="1" indent="0" justifyLastLine="0" shrinkToFit="0" readingOrder="0"/>
    </dxf>
    <dxf>
      <border outline="0">
        <bottom style="medium">
          <color rgb="FF17365D"/>
        </bottom>
      </border>
    </dxf>
    <dxf>
      <border outline="0">
        <bottom style="medium">
          <color rgb="FF17365D"/>
        </bottom>
      </border>
    </dxf>
    <dxf>
      <border outline="0">
        <bottom style="thin">
          <color rgb="FFD9D9D9"/>
        </bottom>
      </border>
    </dxf>
    <dxf>
      <border outline="0">
        <bottom style="medium">
          <color rgb="FF17365D"/>
        </bottom>
      </border>
    </dxf>
    <dxf>
      <border outline="0">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DF934C-D7DB-4FA7-BF29-8C7559993E79}" name="tblUseCaseMatrix" displayName="tblUseCaseMatrix" ref="A1:I8" totalsRowShown="0" headerRowDxfId="28" dataDxfId="19" headerRowBorderDxfId="32" tableBorderDxfId="33">
  <autoFilter ref="A1:I8" xr:uid="{00000000-0009-0000-0000-000004000000}"/>
  <tableColumns count="9">
    <tableColumn id="1" xr3:uid="{EA5317DB-D09A-41BA-9909-864D8B593FE1}" name="Motion" dataDxfId="27"/>
    <tableColumn id="2" xr3:uid="{63C3ECCA-A610-453A-842C-8F5C5B98FF35}" name="Playbook #" dataDxfId="18"/>
    <tableColumn id="3" xr3:uid="{BE8F9A84-85B3-4A21-B805-FF37190E1B02}" name="Playbook" dataDxfId="26"/>
    <tableColumn id="4" xr3:uid="{F8A80C28-CC4C-43E1-9A81-7174D68524FF}" name="Wedge / Outcome" dataDxfId="25"/>
    <tableColumn id="5" xr3:uid="{FA56E112-B564-4850-ADCC-62EB6A421FD0}" name="Buyer and trigger" dataDxfId="24"/>
    <tableColumn id="6" xr3:uid="{DE6C54A3-E7A3-4EB3-88D0-FA4DA6222E9D}" name="Studio capabilities" dataDxfId="23"/>
    <tableColumn id="7" xr3:uid="{C1A655C5-BBA5-4EBF-AD31-92E7690E48AD}" name="Metrics that matter" dataDxfId="22"/>
    <tableColumn id="8" xr3:uid="{F9616109-280E-4A58-A98E-7AB4BD76FB74}" name="Public proof" dataDxfId="21"/>
    <tableColumn id="9" xr3:uid="{AE864580-CE63-45A0-84C5-B87FD0E90924}" name="Source document"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93DD39-F9C0-4C52-AE18-C2B798689436}" name="tblCompetitorMatrix" displayName="tblCompetitorMatrix" ref="A1:G10" totalsRowShown="0" headerRowDxfId="17" dataDxfId="9" headerRowBorderDxfId="30" tableBorderDxfId="31">
  <autoFilter ref="A1:G10" xr:uid="{00000000-0009-0000-0000-000005000000}"/>
  <tableColumns count="7">
    <tableColumn id="1" xr3:uid="{F621DE23-A0C9-4A8B-BF67-EC2F18798B5F}" name="Buying pattern" dataDxfId="16"/>
    <tableColumn id="2" xr3:uid="{2A94721A-0D7F-4843-BF4E-A45321331F99}" name="Alternative" dataDxfId="15"/>
    <tableColumn id="3" xr3:uid="{F85BD8FF-06F5-421F-AAE0-F1A56F38C21E}" name="Best-fit buyer" dataDxfId="14"/>
    <tableColumn id="4" xr3:uid="{DCBBF703-5C26-405D-9EB0-6288FCD0C1C7}" name="They lead with" dataDxfId="13"/>
    <tableColumn id="5" xr3:uid="{1FCB4B4E-5E9B-4C76-AD2A-D27C9BA9737A}" name="Press here" dataDxfId="12"/>
    <tableColumn id="6" xr3:uid="{0A98DB58-1461-4FED-BE4D-76F687C1F707}" name="Primary reference URL" dataDxfId="11" dataCellStyle="Hyperlink"/>
    <tableColumn id="7" xr3:uid="{C0B56561-B05C-42AF-BF77-DCEA979DA5A4}" name="Source document"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3BEEFAD-623D-48D1-BC18-F9D847BCC858}" name="tblSources" displayName="tblSources" ref="A1:C24" totalsRowShown="0" headerRowDxfId="2" dataDxfId="1" headerRowBorderDxfId="29">
  <autoFilter ref="A1:C24" xr:uid="{00000000-0009-0000-0000-000008000000}"/>
  <tableColumns count="3">
    <tableColumn id="1" xr3:uid="{62327A9A-9EB0-41DA-BB22-858D72C94389}" name="Source document" dataDxfId="4"/>
    <tableColumn id="2" xr3:uid="{0A5C8E1B-0559-4A87-82D4-FCE022657063}" name="Section / Subject" dataDxfId="3"/>
    <tableColumn id="4" xr3:uid="{D7A08691-1220-47D1-9D66-62B15FCDEBF7}" name="Normalized URL" dataDxfId="0" dataCellStyle="Hyperlink"/>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hyperlink" Target="https://langchain-ai.github.io/langgraph/concepts/persistence/" TargetMode="External"/><Relationship Id="rId3" Type="http://schemas.openxmlformats.org/officeDocument/2006/relationships/hyperlink" Target="https://docs.cloud.google.com/vertex-ai/generative-ai/docs/agent-engine/evaluate" TargetMode="External"/><Relationship Id="rId7" Type="http://schemas.openxmlformats.org/officeDocument/2006/relationships/hyperlink" Target="https://docs.llamaindex.ai/en/v0.10.33/understanding/loading/llamahub/" TargetMode="External"/><Relationship Id="rId2" Type="http://schemas.openxmlformats.org/officeDocument/2006/relationships/hyperlink" Target="https://docs.anthropic.com/en/docs/agents-and-tools/tool-use/tool-runner-sdk" TargetMode="External"/><Relationship Id="rId1" Type="http://schemas.openxmlformats.org/officeDocument/2006/relationships/hyperlink" Target="https://openai.com/index/new-tools-for-building-agents/" TargetMode="External"/><Relationship Id="rId6" Type="http://schemas.openxmlformats.org/officeDocument/2006/relationships/hyperlink" Target="https://www.langchain.com/langsmith-platform" TargetMode="External"/><Relationship Id="rId5" Type="http://schemas.openxmlformats.org/officeDocument/2006/relationships/hyperlink" Target="https://aws.amazon.com/about-aws/whats-new/2026/05/bedrock-agentcore-launch-aws-govcloud-us/" TargetMode="External"/><Relationship Id="rId4" Type="http://schemas.openxmlformats.org/officeDocument/2006/relationships/hyperlink" Target="https://azure.microsoft.com/en-us/products/ai-foundry" TargetMode="External"/><Relationship Id="rId9" Type="http://schemas.openxmlformats.org/officeDocument/2006/relationships/table" Target="../tables/table2.xml"/></Relationships>
</file>

<file path=xl/worksheets/_rels/sheet9.xml.rels><?xml version="1.0" encoding="UTF-8" standalone="yes"?>
<Relationships xmlns="http://schemas.openxmlformats.org/package/2006/relationships"><Relationship Id="rId8" Type="http://schemas.openxmlformats.org/officeDocument/2006/relationships/hyperlink" Target="https://docs.mistral.ai/studio-api/overview" TargetMode="External"/><Relationship Id="rId13" Type="http://schemas.openxmlformats.org/officeDocument/2006/relationships/hyperlink" Target="https://docs.mistral.ai/studio-api/workflows/building-workflows/durable_agents" TargetMode="External"/><Relationship Id="rId18" Type="http://schemas.openxmlformats.org/officeDocument/2006/relationships/hyperlink" Target="https://azure.microsoft.com/en-us/products/ai-foundry" TargetMode="External"/><Relationship Id="rId3" Type="http://schemas.openxmlformats.org/officeDocument/2006/relationships/hyperlink" Target="https://docs.mistral.ai/studio/workflows/getting-started/overview" TargetMode="External"/><Relationship Id="rId21" Type="http://schemas.openxmlformats.org/officeDocument/2006/relationships/hyperlink" Target="https://docs.llamaindex.ai/en/v0.10.33/understanding/loading/llamahub/" TargetMode="External"/><Relationship Id="rId7" Type="http://schemas.openxmlformats.org/officeDocument/2006/relationships/hyperlink" Target="https://docs.mistral.ai/fr/admin/workspaces/workspaces-in-studio" TargetMode="External"/><Relationship Id="rId12" Type="http://schemas.openxmlformats.org/officeDocument/2006/relationships/hyperlink" Target="https://docs.mistral.ai/studio-api/workflows/building-workflows/connectors" TargetMode="External"/><Relationship Id="rId17" Type="http://schemas.openxmlformats.org/officeDocument/2006/relationships/hyperlink" Target="https://docs.cloud.google.com/vertex-ai/generative-ai/docs/agent-engine/evaluate" TargetMode="External"/><Relationship Id="rId2" Type="http://schemas.openxmlformats.org/officeDocument/2006/relationships/hyperlink" Target="https://mistral.ai/news/ai-studio" TargetMode="External"/><Relationship Id="rId16" Type="http://schemas.openxmlformats.org/officeDocument/2006/relationships/hyperlink" Target="https://docs.anthropic.com/en/docs/agents-and-tools/tool-use/tool-runner-sdk" TargetMode="External"/><Relationship Id="rId20" Type="http://schemas.openxmlformats.org/officeDocument/2006/relationships/hyperlink" Target="https://www.langchain.com/langsmith-platform" TargetMode="External"/><Relationship Id="rId1" Type="http://schemas.openxmlformats.org/officeDocument/2006/relationships/hyperlink" Target="https://mistral.ai/products/studio" TargetMode="External"/><Relationship Id="rId6" Type="http://schemas.openxmlformats.org/officeDocument/2006/relationships/hyperlink" Target="https://docs.mistral.ai/studio-api/safety-moderation" TargetMode="External"/><Relationship Id="rId11" Type="http://schemas.openxmlformats.org/officeDocument/2006/relationships/hyperlink" Target="https://docs.mistral.ai/studio-api/workflows/building-workflows/workflows" TargetMode="External"/><Relationship Id="rId24" Type="http://schemas.openxmlformats.org/officeDocument/2006/relationships/table" Target="../tables/table3.xml"/><Relationship Id="rId5" Type="http://schemas.openxmlformats.org/officeDocument/2006/relationships/hyperlink" Target="https://docs.mistral.ai/studio-api/workflows/building-workflows/connectors" TargetMode="External"/><Relationship Id="rId15" Type="http://schemas.openxmlformats.org/officeDocument/2006/relationships/hyperlink" Target="https://openai.com/index/new-tools-for-building-agents/" TargetMode="External"/><Relationship Id="rId23" Type="http://schemas.openxmlformats.org/officeDocument/2006/relationships/hyperlink" Target="https://mistral.ai/news/ai-studio/" TargetMode="External"/><Relationship Id="rId10" Type="http://schemas.openxmlformats.org/officeDocument/2006/relationships/hyperlink" Target="https://docs.mistral.ai/studio-api/safety-moderation" TargetMode="External"/><Relationship Id="rId19" Type="http://schemas.openxmlformats.org/officeDocument/2006/relationships/hyperlink" Target="https://aws.amazon.com/about-aws/whats-new/2026/05/bedrock-agentcore-launch-aws-govcloud-us/" TargetMode="External"/><Relationship Id="rId4" Type="http://schemas.openxmlformats.org/officeDocument/2006/relationships/hyperlink" Target="https://docs.mistral.ai/studio/workflows/building-workflows/durable_agents" TargetMode="External"/><Relationship Id="rId9" Type="http://schemas.openxmlformats.org/officeDocument/2006/relationships/hyperlink" Target="https://docs.mistral.ai/studio-api/agents/agents-api" TargetMode="External"/><Relationship Id="rId14" Type="http://schemas.openxmlformats.org/officeDocument/2006/relationships/hyperlink" Target="https://docs.mistral.ai/fr/admin/workspaces/workspaces-in-studio" TargetMode="External"/><Relationship Id="rId22" Type="http://schemas.openxmlformats.org/officeDocument/2006/relationships/hyperlink" Target="https://langchain-ai.github.io/langgraph/concepts/persist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6"/>
  <sheetViews>
    <sheetView showGridLines="0" tabSelected="1" zoomScale="90" workbookViewId="0">
      <pane ySplit="2" topLeftCell="A3" activePane="bottomLeft" state="frozen"/>
      <selection pane="bottomLeft" activeCell="E27" sqref="E27"/>
    </sheetView>
  </sheetViews>
  <sheetFormatPr defaultRowHeight="15" x14ac:dyDescent="0.25"/>
  <cols>
    <col min="1" max="1" width="29.5703125" customWidth="1"/>
    <col min="2" max="5" width="18.140625" customWidth="1"/>
    <col min="6" max="6" width="15.28515625" customWidth="1"/>
  </cols>
  <sheetData>
    <row r="1" spans="1:6" ht="32.1" customHeight="1" x14ac:dyDescent="0.25">
      <c r="A1" s="11" t="s">
        <v>0</v>
      </c>
      <c r="B1" s="12"/>
      <c r="C1" s="12"/>
      <c r="D1" s="12"/>
      <c r="E1" s="12"/>
      <c r="F1" s="12"/>
    </row>
    <row r="2" spans="1:6" ht="30" customHeight="1" x14ac:dyDescent="0.25">
      <c r="A2" s="8" t="s">
        <v>1</v>
      </c>
      <c r="B2" s="7"/>
      <c r="C2" s="7"/>
      <c r="D2" s="7"/>
      <c r="E2" s="7"/>
      <c r="F2" s="7"/>
    </row>
    <row r="3" spans="1:6" ht="8.1" customHeight="1" x14ac:dyDescent="0.25">
      <c r="A3" s="10"/>
      <c r="B3" s="10"/>
      <c r="C3" s="10"/>
      <c r="D3" s="10"/>
      <c r="E3" s="10"/>
      <c r="F3" s="10"/>
    </row>
    <row r="4" spans="1:6" ht="8.1" customHeight="1" x14ac:dyDescent="0.25">
      <c r="A4" s="10"/>
      <c r="B4" s="10"/>
      <c r="C4" s="10"/>
      <c r="D4" s="10"/>
      <c r="E4" s="10"/>
      <c r="F4" s="10"/>
    </row>
    <row r="5" spans="1:6" ht="21.95" customHeight="1" x14ac:dyDescent="0.25">
      <c r="A5" s="13" t="s">
        <v>5</v>
      </c>
      <c r="B5" s="13"/>
      <c r="C5" s="13"/>
      <c r="D5" s="13"/>
      <c r="E5" s="13"/>
      <c r="F5" s="13"/>
    </row>
    <row r="6" spans="1:6" ht="21.95" customHeight="1" x14ac:dyDescent="0.25">
      <c r="A6" s="14" t="s">
        <v>447</v>
      </c>
      <c r="B6" s="15" t="s">
        <v>448</v>
      </c>
      <c r="C6" s="15"/>
      <c r="D6" s="15"/>
      <c r="E6" s="15"/>
      <c r="F6" s="14" t="s">
        <v>449</v>
      </c>
    </row>
    <row r="7" spans="1:6" x14ac:dyDescent="0.25">
      <c r="A7" s="16" t="s">
        <v>450</v>
      </c>
      <c r="B7" s="9" t="s">
        <v>6</v>
      </c>
      <c r="C7" s="9"/>
      <c r="D7" s="9"/>
      <c r="E7" s="9"/>
      <c r="F7" s="17">
        <f>COUNTA('01 Positioning Doc'!A:A)</f>
        <v>60</v>
      </c>
    </row>
    <row r="8" spans="1:6" x14ac:dyDescent="0.25">
      <c r="A8" s="16" t="s">
        <v>451</v>
      </c>
      <c r="B8" s="9" t="s">
        <v>7</v>
      </c>
      <c r="C8" s="9"/>
      <c r="D8" s="9"/>
      <c r="E8" s="9"/>
      <c r="F8" s="17">
        <f>COUNTA('02 Use Case Doc'!A:A)</f>
        <v>50</v>
      </c>
    </row>
    <row r="9" spans="1:6" x14ac:dyDescent="0.25">
      <c r="A9" s="16" t="s">
        <v>452</v>
      </c>
      <c r="B9" s="9" t="s">
        <v>8</v>
      </c>
      <c r="C9" s="9"/>
      <c r="D9" s="9"/>
      <c r="E9" s="9"/>
      <c r="F9" s="17">
        <f>COUNTA('03 Battlecards Doc'!A:A)</f>
        <v>74</v>
      </c>
    </row>
    <row r="10" spans="1:6" x14ac:dyDescent="0.25">
      <c r="A10" s="16" t="s">
        <v>453</v>
      </c>
      <c r="B10" s="9" t="s">
        <v>9</v>
      </c>
      <c r="C10" s="9"/>
      <c r="D10" s="9"/>
      <c r="E10" s="9"/>
      <c r="F10" s="17">
        <f>ROWS(tblUseCaseMatrix[])</f>
        <v>7</v>
      </c>
    </row>
    <row r="11" spans="1:6" x14ac:dyDescent="0.25">
      <c r="A11" s="16" t="s">
        <v>454</v>
      </c>
      <c r="B11" s="9" t="s">
        <v>10</v>
      </c>
      <c r="C11" s="9"/>
      <c r="D11" s="9"/>
      <c r="E11" s="9"/>
      <c r="F11" s="17">
        <f>ROWS(tblCompetitorMatrix[])</f>
        <v>9</v>
      </c>
    </row>
    <row r="12" spans="1:6" x14ac:dyDescent="0.25">
      <c r="A12" s="16" t="s">
        <v>455</v>
      </c>
      <c r="B12" s="9" t="s">
        <v>515</v>
      </c>
      <c r="C12" s="9"/>
      <c r="D12" s="9"/>
      <c r="E12" s="9"/>
      <c r="F12" s="17">
        <f>COUNT('06 Messaging Library'!A:A)</f>
        <v>33</v>
      </c>
    </row>
    <row r="13" spans="1:6" x14ac:dyDescent="0.25">
      <c r="A13" s="16" t="s">
        <v>456</v>
      </c>
      <c r="B13" s="9" t="s">
        <v>516</v>
      </c>
      <c r="C13" s="9"/>
      <c r="D13" s="9"/>
      <c r="E13" s="9"/>
      <c r="F13" s="17">
        <f>COUNT('07 Discovery and Eval'!A:A)</f>
        <v>33</v>
      </c>
    </row>
    <row r="14" spans="1:6" x14ac:dyDescent="0.25">
      <c r="A14" s="16" t="s">
        <v>457</v>
      </c>
      <c r="B14" s="9" t="s">
        <v>11</v>
      </c>
      <c r="C14" s="9"/>
      <c r="D14" s="9"/>
      <c r="E14" s="9"/>
      <c r="F14" s="17">
        <f>ROWS(tblSources[])</f>
        <v>23</v>
      </c>
    </row>
    <row r="15" spans="1:6" x14ac:dyDescent="0.25">
      <c r="A15" s="18" t="s">
        <v>458</v>
      </c>
      <c r="B15" s="19" t="s">
        <v>12</v>
      </c>
      <c r="C15" s="19"/>
      <c r="D15" s="19"/>
      <c r="E15" s="19"/>
      <c r="F15" s="20" t="s">
        <v>460</v>
      </c>
    </row>
    <row r="16" spans="1:6" ht="21.95" customHeight="1" x14ac:dyDescent="0.25">
      <c r="A16" s="10"/>
      <c r="B16" s="10"/>
      <c r="C16" s="10"/>
      <c r="D16" s="10"/>
      <c r="E16" s="22" t="s">
        <v>459</v>
      </c>
      <c r="F16" s="21">
        <f>SUM(F7:F14)</f>
        <v>289</v>
      </c>
    </row>
  </sheetData>
  <mergeCells count="12">
    <mergeCell ref="A1:F1"/>
    <mergeCell ref="B7:E7"/>
    <mergeCell ref="B8:E8"/>
    <mergeCell ref="B9:E9"/>
    <mergeCell ref="B10:E10"/>
    <mergeCell ref="B11:E11"/>
    <mergeCell ref="B12:E12"/>
    <mergeCell ref="B13:E13"/>
    <mergeCell ref="A2:F2"/>
    <mergeCell ref="B14:E14"/>
    <mergeCell ref="B15:E15"/>
    <mergeCell ref="B6:E6"/>
  </mergeCells>
  <pageMargins left="0.25" right="0.25" top="0.5" bottom="0.5"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H77"/>
  <sheetViews>
    <sheetView showGridLines="0" zoomScale="85" workbookViewId="0">
      <pane ySplit="2" topLeftCell="A56" activePane="bottomLeft" state="frozen"/>
      <selection pane="bottomLeft" activeCell="A3" sqref="A3:XFD3"/>
    </sheetView>
  </sheetViews>
  <sheetFormatPr defaultRowHeight="15" x14ac:dyDescent="0.25"/>
  <cols>
    <col min="1" max="1" width="24.7109375" customWidth="1"/>
    <col min="2" max="3" width="31.42578125" customWidth="1"/>
    <col min="4" max="4" width="23.85546875" customWidth="1"/>
    <col min="5" max="6" width="20" customWidth="1"/>
    <col min="7" max="8" width="7.5703125" customWidth="1"/>
  </cols>
  <sheetData>
    <row r="1" spans="1:8" ht="32.1" customHeight="1" x14ac:dyDescent="0.25">
      <c r="A1" s="31" t="s">
        <v>13</v>
      </c>
      <c r="B1" s="31"/>
      <c r="C1" s="31"/>
      <c r="D1" s="31"/>
      <c r="E1" s="31"/>
      <c r="F1" s="31"/>
    </row>
    <row r="2" spans="1:8" ht="26.1" customHeight="1" x14ac:dyDescent="0.25">
      <c r="A2" s="32" t="s">
        <v>14</v>
      </c>
      <c r="B2" s="32"/>
      <c r="C2" s="32"/>
      <c r="D2" s="32"/>
      <c r="E2" s="32"/>
      <c r="F2" s="32"/>
    </row>
    <row r="3" spans="1:8" x14ac:dyDescent="0.25">
      <c r="A3" s="27"/>
      <c r="B3" s="27"/>
      <c r="C3" s="27"/>
      <c r="D3" s="27"/>
      <c r="E3" s="27"/>
      <c r="F3" s="27"/>
    </row>
    <row r="4" spans="1:8" x14ac:dyDescent="0.25">
      <c r="A4" s="26" t="s">
        <v>15</v>
      </c>
      <c r="B4" s="26"/>
      <c r="C4" s="26"/>
      <c r="D4" s="26"/>
      <c r="E4" s="26"/>
      <c r="F4" s="26"/>
    </row>
    <row r="5" spans="1:8" x14ac:dyDescent="0.25">
      <c r="A5" s="27"/>
      <c r="B5" s="27"/>
      <c r="C5" s="27"/>
      <c r="D5" s="27"/>
      <c r="E5" s="27"/>
      <c r="F5" s="27"/>
    </row>
    <row r="6" spans="1:8" ht="21.95" customHeight="1" x14ac:dyDescent="0.25">
      <c r="A6" s="33" t="s">
        <v>16</v>
      </c>
      <c r="B6" s="33"/>
      <c r="C6" s="33"/>
      <c r="D6" s="33"/>
      <c r="E6" s="33"/>
      <c r="F6" s="33"/>
      <c r="G6" s="6"/>
      <c r="H6" s="6"/>
    </row>
    <row r="7" spans="1:8" x14ac:dyDescent="0.25">
      <c r="A7" s="28" t="s">
        <v>17</v>
      </c>
      <c r="B7" s="29"/>
      <c r="C7" s="29"/>
      <c r="D7" s="29"/>
      <c r="E7" s="29"/>
      <c r="F7" s="29"/>
    </row>
    <row r="8" spans="1:8" x14ac:dyDescent="0.25">
      <c r="A8" s="27"/>
      <c r="B8" s="27"/>
      <c r="C8" s="27"/>
      <c r="D8" s="27"/>
      <c r="E8" s="27"/>
      <c r="F8" s="27"/>
    </row>
    <row r="9" spans="1:8" x14ac:dyDescent="0.25">
      <c r="A9" s="34" t="s">
        <v>18</v>
      </c>
      <c r="B9" s="34" t="s">
        <v>19</v>
      </c>
      <c r="C9" s="35" t="s">
        <v>20</v>
      </c>
      <c r="D9" s="35"/>
      <c r="E9" s="35"/>
      <c r="F9" s="35"/>
      <c r="G9" s="5"/>
      <c r="H9" s="5"/>
    </row>
    <row r="10" spans="1:8" x14ac:dyDescent="0.25">
      <c r="A10" s="36" t="s">
        <v>21</v>
      </c>
      <c r="B10" s="37" t="s">
        <v>22</v>
      </c>
      <c r="C10" s="38" t="s">
        <v>23</v>
      </c>
      <c r="D10" s="38"/>
      <c r="E10" s="38"/>
      <c r="F10" s="38"/>
    </row>
    <row r="11" spans="1:8" ht="27" x14ac:dyDescent="0.25">
      <c r="A11" s="42" t="s">
        <v>24</v>
      </c>
      <c r="B11" s="43" t="s">
        <v>25</v>
      </c>
      <c r="C11" s="44" t="s">
        <v>26</v>
      </c>
      <c r="D11" s="44"/>
      <c r="E11" s="44"/>
      <c r="F11" s="44"/>
    </row>
    <row r="12" spans="1:8" ht="27" x14ac:dyDescent="0.25">
      <c r="A12" s="42" t="s">
        <v>27</v>
      </c>
      <c r="B12" s="43" t="s">
        <v>28</v>
      </c>
      <c r="C12" s="44" t="s">
        <v>29</v>
      </c>
      <c r="D12" s="44"/>
      <c r="E12" s="44"/>
      <c r="F12" s="44"/>
    </row>
    <row r="13" spans="1:8" ht="54" x14ac:dyDescent="0.25">
      <c r="A13" s="42" t="s">
        <v>30</v>
      </c>
      <c r="B13" s="43" t="s">
        <v>31</v>
      </c>
      <c r="C13" s="44" t="s">
        <v>32</v>
      </c>
      <c r="D13" s="44"/>
      <c r="E13" s="44"/>
      <c r="F13" s="44"/>
    </row>
    <row r="14" spans="1:8" ht="40.5" x14ac:dyDescent="0.25">
      <c r="A14" s="39" t="s">
        <v>33</v>
      </c>
      <c r="B14" s="40" t="s">
        <v>34</v>
      </c>
      <c r="C14" s="41" t="s">
        <v>35</v>
      </c>
      <c r="D14" s="41"/>
      <c r="E14" s="41"/>
      <c r="F14" s="41"/>
    </row>
    <row r="15" spans="1:8" ht="20.100000000000001" customHeight="1" x14ac:dyDescent="0.25">
      <c r="A15" s="27"/>
      <c r="B15" s="27"/>
      <c r="C15" s="27"/>
      <c r="D15" s="27"/>
      <c r="E15" s="27"/>
      <c r="F15" s="27"/>
    </row>
    <row r="16" spans="1:8" x14ac:dyDescent="0.25">
      <c r="A16" s="27"/>
      <c r="B16" s="27"/>
      <c r="C16" s="27"/>
      <c r="D16" s="27"/>
      <c r="E16" s="27"/>
      <c r="F16" s="27"/>
    </row>
    <row r="17" spans="1:8" ht="21.95" customHeight="1" x14ac:dyDescent="0.25">
      <c r="A17" s="33" t="s">
        <v>36</v>
      </c>
      <c r="B17" s="33"/>
      <c r="C17" s="33"/>
      <c r="D17" s="33"/>
      <c r="E17" s="33"/>
      <c r="F17" s="33"/>
      <c r="G17" s="6"/>
      <c r="H17" s="6"/>
    </row>
    <row r="18" spans="1:8" x14ac:dyDescent="0.25">
      <c r="A18" s="34" t="s">
        <v>37</v>
      </c>
      <c r="B18" s="34" t="s">
        <v>38</v>
      </c>
      <c r="C18" s="35" t="s">
        <v>39</v>
      </c>
      <c r="D18" s="35"/>
      <c r="E18" s="35"/>
      <c r="F18" s="35"/>
      <c r="G18" s="5"/>
      <c r="H18" s="5"/>
    </row>
    <row r="19" spans="1:8" ht="27" x14ac:dyDescent="0.25">
      <c r="A19" s="36" t="s">
        <v>40</v>
      </c>
      <c r="B19" s="37" t="s">
        <v>41</v>
      </c>
      <c r="C19" s="38" t="s">
        <v>42</v>
      </c>
      <c r="D19" s="38"/>
      <c r="E19" s="38"/>
      <c r="F19" s="38"/>
    </row>
    <row r="20" spans="1:8" ht="27" x14ac:dyDescent="0.25">
      <c r="A20" s="42" t="s">
        <v>43</v>
      </c>
      <c r="B20" s="43" t="s">
        <v>44</v>
      </c>
      <c r="C20" s="44" t="s">
        <v>45</v>
      </c>
      <c r="D20" s="44"/>
      <c r="E20" s="44"/>
      <c r="F20" s="44"/>
    </row>
    <row r="21" spans="1:8" ht="27" x14ac:dyDescent="0.25">
      <c r="A21" s="42" t="s">
        <v>46</v>
      </c>
      <c r="B21" s="43" t="s">
        <v>47</v>
      </c>
      <c r="C21" s="44" t="s">
        <v>48</v>
      </c>
      <c r="D21" s="44"/>
      <c r="E21" s="44"/>
      <c r="F21" s="44"/>
    </row>
    <row r="22" spans="1:8" ht="27" x14ac:dyDescent="0.25">
      <c r="A22" s="39" t="s">
        <v>49</v>
      </c>
      <c r="B22" s="40" t="s">
        <v>50</v>
      </c>
      <c r="C22" s="41" t="s">
        <v>51</v>
      </c>
      <c r="D22" s="41"/>
      <c r="E22" s="41"/>
      <c r="F22" s="41"/>
    </row>
    <row r="23" spans="1:8" ht="20.100000000000001" customHeight="1" x14ac:dyDescent="0.25">
      <c r="A23" s="27"/>
      <c r="B23" s="27"/>
      <c r="C23" s="27"/>
      <c r="D23" s="27"/>
      <c r="E23" s="27"/>
      <c r="F23" s="27"/>
    </row>
    <row r="24" spans="1:8" x14ac:dyDescent="0.25">
      <c r="A24" s="27"/>
      <c r="B24" s="27"/>
      <c r="C24" s="27"/>
      <c r="D24" s="27"/>
      <c r="E24" s="27"/>
      <c r="F24" s="27"/>
    </row>
    <row r="25" spans="1:8" ht="21.95" customHeight="1" x14ac:dyDescent="0.25">
      <c r="A25" s="33" t="s">
        <v>52</v>
      </c>
      <c r="B25" s="33"/>
      <c r="C25" s="33"/>
      <c r="D25" s="33"/>
      <c r="E25" s="33"/>
      <c r="F25" s="33"/>
      <c r="G25" s="6"/>
      <c r="H25" s="6"/>
    </row>
    <row r="26" spans="1:8" x14ac:dyDescent="0.25">
      <c r="A26" s="34" t="s">
        <v>53</v>
      </c>
      <c r="B26" s="34" t="s">
        <v>54</v>
      </c>
      <c r="C26" s="34" t="s">
        <v>55</v>
      </c>
      <c r="D26" s="34" t="s">
        <v>56</v>
      </c>
      <c r="E26" s="35" t="s">
        <v>57</v>
      </c>
      <c r="F26" s="35"/>
      <c r="G26" s="5"/>
      <c r="H26" s="5"/>
    </row>
    <row r="27" spans="1:8" ht="27" x14ac:dyDescent="0.25">
      <c r="A27" s="36" t="s">
        <v>58</v>
      </c>
      <c r="B27" s="37" t="s">
        <v>59</v>
      </c>
      <c r="C27" s="37" t="s">
        <v>60</v>
      </c>
      <c r="D27" s="37" t="s">
        <v>61</v>
      </c>
      <c r="E27" s="38" t="s">
        <v>62</v>
      </c>
      <c r="F27" s="38"/>
    </row>
    <row r="28" spans="1:8" ht="27" x14ac:dyDescent="0.25">
      <c r="A28" s="42" t="s">
        <v>63</v>
      </c>
      <c r="B28" s="43" t="s">
        <v>64</v>
      </c>
      <c r="C28" s="43" t="s">
        <v>65</v>
      </c>
      <c r="D28" s="43" t="s">
        <v>66</v>
      </c>
      <c r="E28" s="44" t="s">
        <v>67</v>
      </c>
      <c r="F28" s="44"/>
    </row>
    <row r="29" spans="1:8" ht="27" x14ac:dyDescent="0.25">
      <c r="A29" s="42" t="s">
        <v>68</v>
      </c>
      <c r="B29" s="43" t="s">
        <v>69</v>
      </c>
      <c r="C29" s="43" t="s">
        <v>70</v>
      </c>
      <c r="D29" s="43" t="s">
        <v>71</v>
      </c>
      <c r="E29" s="44" t="s">
        <v>72</v>
      </c>
      <c r="F29" s="44"/>
    </row>
    <row r="30" spans="1:8" ht="27" x14ac:dyDescent="0.25">
      <c r="A30" s="42" t="s">
        <v>73</v>
      </c>
      <c r="B30" s="43" t="s">
        <v>74</v>
      </c>
      <c r="C30" s="43" t="s">
        <v>75</v>
      </c>
      <c r="D30" s="43" t="s">
        <v>76</v>
      </c>
      <c r="E30" s="44" t="s">
        <v>77</v>
      </c>
      <c r="F30" s="44"/>
    </row>
    <row r="31" spans="1:8" ht="27" x14ac:dyDescent="0.25">
      <c r="A31" s="42" t="s">
        <v>78</v>
      </c>
      <c r="B31" s="43" t="s">
        <v>79</v>
      </c>
      <c r="C31" s="43" t="s">
        <v>80</v>
      </c>
      <c r="D31" s="43" t="s">
        <v>81</v>
      </c>
      <c r="E31" s="44" t="s">
        <v>82</v>
      </c>
      <c r="F31" s="44"/>
    </row>
    <row r="32" spans="1:8" ht="27" x14ac:dyDescent="0.25">
      <c r="A32" s="39" t="s">
        <v>83</v>
      </c>
      <c r="B32" s="40" t="s">
        <v>84</v>
      </c>
      <c r="C32" s="40" t="s">
        <v>85</v>
      </c>
      <c r="D32" s="40" t="s">
        <v>86</v>
      </c>
      <c r="E32" s="41" t="s">
        <v>87</v>
      </c>
      <c r="F32" s="41"/>
    </row>
    <row r="33" spans="1:8" ht="20.100000000000001" customHeight="1" x14ac:dyDescent="0.25">
      <c r="A33" s="27"/>
      <c r="B33" s="27"/>
      <c r="C33" s="27"/>
      <c r="D33" s="27"/>
      <c r="E33" s="27"/>
      <c r="F33" s="27"/>
    </row>
    <row r="34" spans="1:8" x14ac:dyDescent="0.25">
      <c r="A34" s="27"/>
      <c r="B34" s="27"/>
      <c r="C34" s="27"/>
      <c r="D34" s="27"/>
      <c r="E34" s="27"/>
      <c r="F34" s="27"/>
    </row>
    <row r="35" spans="1:8" ht="21.95" customHeight="1" x14ac:dyDescent="0.25">
      <c r="A35" s="33" t="s">
        <v>88</v>
      </c>
      <c r="B35" s="33"/>
      <c r="C35" s="33"/>
      <c r="D35" s="33"/>
      <c r="E35" s="33"/>
      <c r="F35" s="33"/>
      <c r="G35" s="6"/>
      <c r="H35" s="6"/>
    </row>
    <row r="36" spans="1:8" x14ac:dyDescent="0.25">
      <c r="A36" s="26" t="s">
        <v>89</v>
      </c>
      <c r="B36" s="26"/>
      <c r="C36" s="26"/>
      <c r="D36" s="26"/>
      <c r="E36" s="26"/>
      <c r="F36" s="26"/>
    </row>
    <row r="37" spans="1:8" x14ac:dyDescent="0.25">
      <c r="A37" s="45" t="s">
        <v>90</v>
      </c>
      <c r="B37" s="24" t="s">
        <v>91</v>
      </c>
      <c r="C37" s="24"/>
      <c r="D37" s="24"/>
      <c r="E37" s="24"/>
      <c r="F37" s="24"/>
      <c r="G37" s="5"/>
      <c r="H37" s="5"/>
    </row>
    <row r="38" spans="1:8" x14ac:dyDescent="0.25">
      <c r="A38" s="42" t="s">
        <v>92</v>
      </c>
      <c r="B38" s="44" t="s">
        <v>93</v>
      </c>
      <c r="C38" s="44"/>
      <c r="D38" s="44"/>
      <c r="E38" s="44"/>
      <c r="F38" s="44"/>
    </row>
    <row r="39" spans="1:8" x14ac:dyDescent="0.25">
      <c r="A39" s="42" t="s">
        <v>94</v>
      </c>
      <c r="B39" s="44" t="s">
        <v>95</v>
      </c>
      <c r="C39" s="44"/>
      <c r="D39" s="44"/>
      <c r="E39" s="44"/>
      <c r="F39" s="44"/>
    </row>
    <row r="40" spans="1:8" x14ac:dyDescent="0.25">
      <c r="A40" s="39" t="s">
        <v>96</v>
      </c>
      <c r="B40" s="41" t="s">
        <v>97</v>
      </c>
      <c r="C40" s="41"/>
      <c r="D40" s="41"/>
      <c r="E40" s="41"/>
      <c r="F40" s="41"/>
    </row>
    <row r="41" spans="1:8" ht="20.100000000000001" customHeight="1" x14ac:dyDescent="0.25">
      <c r="A41" s="27"/>
      <c r="B41" s="27"/>
      <c r="C41" s="27"/>
      <c r="D41" s="27"/>
      <c r="E41" s="27"/>
      <c r="F41" s="27"/>
    </row>
    <row r="42" spans="1:8" x14ac:dyDescent="0.25">
      <c r="A42" s="27"/>
      <c r="B42" s="27"/>
      <c r="C42" s="27"/>
      <c r="D42" s="27"/>
      <c r="E42" s="27"/>
      <c r="F42" s="27"/>
    </row>
    <row r="43" spans="1:8" ht="21.95" customHeight="1" x14ac:dyDescent="0.25">
      <c r="A43" s="33" t="s">
        <v>98</v>
      </c>
      <c r="B43" s="33"/>
      <c r="C43" s="33"/>
      <c r="D43" s="33"/>
      <c r="E43" s="33"/>
      <c r="F43" s="33"/>
      <c r="G43" s="6"/>
      <c r="H43" s="6"/>
    </row>
    <row r="44" spans="1:8" x14ac:dyDescent="0.25">
      <c r="A44" s="45" t="s">
        <v>99</v>
      </c>
      <c r="B44" s="45" t="s">
        <v>100</v>
      </c>
      <c r="C44" s="45" t="s">
        <v>56</v>
      </c>
      <c r="D44" s="24" t="s">
        <v>57</v>
      </c>
      <c r="E44" s="24"/>
      <c r="F44" s="24"/>
      <c r="G44" s="5"/>
      <c r="H44" s="5"/>
    </row>
    <row r="45" spans="1:8" ht="40.5" x14ac:dyDescent="0.25">
      <c r="A45" s="42" t="s">
        <v>101</v>
      </c>
      <c r="B45" s="43" t="s">
        <v>102</v>
      </c>
      <c r="C45" s="43" t="s">
        <v>103</v>
      </c>
      <c r="D45" s="44" t="s">
        <v>104</v>
      </c>
      <c r="E45" s="44"/>
      <c r="F45" s="44"/>
    </row>
    <row r="46" spans="1:8" ht="54" x14ac:dyDescent="0.25">
      <c r="A46" s="42" t="s">
        <v>105</v>
      </c>
      <c r="B46" s="43" t="s">
        <v>106</v>
      </c>
      <c r="C46" s="43" t="s">
        <v>107</v>
      </c>
      <c r="D46" s="44" t="s">
        <v>108</v>
      </c>
      <c r="E46" s="44"/>
      <c r="F46" s="44"/>
    </row>
    <row r="47" spans="1:8" ht="40.5" x14ac:dyDescent="0.25">
      <c r="A47" s="42" t="s">
        <v>109</v>
      </c>
      <c r="B47" s="43" t="s">
        <v>110</v>
      </c>
      <c r="C47" s="43" t="s">
        <v>111</v>
      </c>
      <c r="D47" s="44" t="s">
        <v>112</v>
      </c>
      <c r="E47" s="44"/>
      <c r="F47" s="44"/>
    </row>
    <row r="48" spans="1:8" ht="40.5" x14ac:dyDescent="0.25">
      <c r="A48" s="39" t="s">
        <v>113</v>
      </c>
      <c r="B48" s="40" t="s">
        <v>114</v>
      </c>
      <c r="C48" s="40" t="s">
        <v>115</v>
      </c>
      <c r="D48" s="41" t="s">
        <v>116</v>
      </c>
      <c r="E48" s="41"/>
      <c r="F48" s="41"/>
    </row>
    <row r="49" spans="1:8" ht="20.100000000000001" customHeight="1" x14ac:dyDescent="0.25">
      <c r="A49" s="27"/>
      <c r="B49" s="27"/>
      <c r="C49" s="27"/>
      <c r="D49" s="27"/>
      <c r="E49" s="27"/>
      <c r="F49" s="27"/>
    </row>
    <row r="50" spans="1:8" x14ac:dyDescent="0.25">
      <c r="A50" s="27"/>
      <c r="B50" s="27"/>
      <c r="C50" s="27"/>
      <c r="D50" s="27"/>
      <c r="E50" s="27"/>
      <c r="F50" s="27"/>
    </row>
    <row r="51" spans="1:8" ht="21.95" customHeight="1" x14ac:dyDescent="0.25">
      <c r="A51" s="33" t="s">
        <v>117</v>
      </c>
      <c r="B51" s="33"/>
      <c r="C51" s="33"/>
      <c r="D51" s="33"/>
      <c r="E51" s="33"/>
      <c r="F51" s="33"/>
      <c r="G51" s="6"/>
      <c r="H51" s="6"/>
    </row>
    <row r="52" spans="1:8" x14ac:dyDescent="0.25">
      <c r="A52" s="26" t="s">
        <v>118</v>
      </c>
      <c r="B52" s="26"/>
      <c r="C52" s="26"/>
      <c r="D52" s="26"/>
      <c r="E52" s="26"/>
      <c r="F52" s="26"/>
    </row>
    <row r="53" spans="1:8" x14ac:dyDescent="0.25">
      <c r="A53" s="45" t="s">
        <v>119</v>
      </c>
      <c r="B53" s="45" t="s">
        <v>120</v>
      </c>
      <c r="C53" s="45" t="s">
        <v>121</v>
      </c>
      <c r="D53" s="24" t="s">
        <v>122</v>
      </c>
      <c r="E53" s="24"/>
      <c r="F53" s="24"/>
      <c r="G53" s="5"/>
      <c r="H53" s="5"/>
    </row>
    <row r="54" spans="1:8" ht="40.5" x14ac:dyDescent="0.25">
      <c r="A54" s="42" t="s">
        <v>123</v>
      </c>
      <c r="B54" s="43" t="s">
        <v>124</v>
      </c>
      <c r="C54" s="43" t="s">
        <v>125</v>
      </c>
      <c r="D54" s="44" t="s">
        <v>126</v>
      </c>
      <c r="E54" s="44"/>
      <c r="F54" s="44"/>
    </row>
    <row r="55" spans="1:8" ht="27" x14ac:dyDescent="0.25">
      <c r="A55" s="42" t="s">
        <v>127</v>
      </c>
      <c r="B55" s="43" t="s">
        <v>128</v>
      </c>
      <c r="C55" s="43" t="s">
        <v>129</v>
      </c>
      <c r="D55" s="44" t="s">
        <v>130</v>
      </c>
      <c r="E55" s="44"/>
      <c r="F55" s="44"/>
    </row>
    <row r="56" spans="1:8" ht="40.5" x14ac:dyDescent="0.25">
      <c r="A56" s="42" t="s">
        <v>131</v>
      </c>
      <c r="B56" s="43" t="s">
        <v>132</v>
      </c>
      <c r="C56" s="43" t="s">
        <v>133</v>
      </c>
      <c r="D56" s="44" t="s">
        <v>134</v>
      </c>
      <c r="E56" s="44"/>
      <c r="F56" s="44"/>
    </row>
    <row r="57" spans="1:8" ht="27" x14ac:dyDescent="0.25">
      <c r="A57" s="42" t="s">
        <v>135</v>
      </c>
      <c r="B57" s="43" t="s">
        <v>136</v>
      </c>
      <c r="C57" s="43" t="s">
        <v>137</v>
      </c>
      <c r="D57" s="44" t="s">
        <v>138</v>
      </c>
      <c r="E57" s="44"/>
      <c r="F57" s="44"/>
    </row>
    <row r="58" spans="1:8" ht="27" x14ac:dyDescent="0.25">
      <c r="A58" s="39" t="s">
        <v>139</v>
      </c>
      <c r="B58" s="40" t="s">
        <v>140</v>
      </c>
      <c r="C58" s="40" t="s">
        <v>141</v>
      </c>
      <c r="D58" s="41" t="s">
        <v>142</v>
      </c>
      <c r="E58" s="41"/>
      <c r="F58" s="41"/>
    </row>
    <row r="59" spans="1:8" ht="20.100000000000001" customHeight="1" x14ac:dyDescent="0.25">
      <c r="A59" s="27"/>
      <c r="B59" s="27"/>
      <c r="C59" s="27"/>
      <c r="D59" s="27"/>
      <c r="E59" s="27"/>
      <c r="F59" s="27"/>
    </row>
    <row r="60" spans="1:8" x14ac:dyDescent="0.25">
      <c r="A60" s="27"/>
      <c r="B60" s="27"/>
      <c r="C60" s="27"/>
      <c r="D60" s="27"/>
      <c r="E60" s="27"/>
      <c r="F60" s="27"/>
    </row>
    <row r="61" spans="1:8" ht="21.95" customHeight="1" x14ac:dyDescent="0.25">
      <c r="A61" s="33" t="s">
        <v>143</v>
      </c>
      <c r="B61" s="33"/>
      <c r="C61" s="33"/>
      <c r="D61" s="33"/>
      <c r="E61" s="33"/>
      <c r="F61" s="33"/>
      <c r="G61" s="6"/>
      <c r="H61" s="6"/>
    </row>
    <row r="62" spans="1:8" x14ac:dyDescent="0.25">
      <c r="A62" s="45" t="s">
        <v>144</v>
      </c>
      <c r="B62" s="45" t="s">
        <v>145</v>
      </c>
      <c r="C62" s="24" t="s">
        <v>146</v>
      </c>
      <c r="D62" s="24"/>
      <c r="E62" s="24"/>
      <c r="F62" s="24"/>
      <c r="G62" s="5"/>
      <c r="H62" s="5"/>
    </row>
    <row r="63" spans="1:8" x14ac:dyDescent="0.25">
      <c r="A63" s="42" t="s">
        <v>104</v>
      </c>
      <c r="B63" s="43" t="s">
        <v>147</v>
      </c>
      <c r="C63" s="44" t="s">
        <v>148</v>
      </c>
      <c r="D63" s="44"/>
      <c r="E63" s="44"/>
      <c r="F63" s="44"/>
    </row>
    <row r="64" spans="1:8" ht="27" x14ac:dyDescent="0.25">
      <c r="A64" s="42" t="s">
        <v>149</v>
      </c>
      <c r="B64" s="43" t="s">
        <v>150</v>
      </c>
      <c r="C64" s="44" t="s">
        <v>151</v>
      </c>
      <c r="D64" s="44"/>
      <c r="E64" s="44"/>
      <c r="F64" s="44"/>
    </row>
    <row r="65" spans="1:8" x14ac:dyDescent="0.25">
      <c r="A65" s="42" t="s">
        <v>116</v>
      </c>
      <c r="B65" s="43" t="s">
        <v>152</v>
      </c>
      <c r="C65" s="44" t="s">
        <v>153</v>
      </c>
      <c r="D65" s="44"/>
      <c r="E65" s="44"/>
      <c r="F65" s="44"/>
    </row>
    <row r="66" spans="1:8" x14ac:dyDescent="0.25">
      <c r="A66" s="42" t="s">
        <v>154</v>
      </c>
      <c r="B66" s="43" t="s">
        <v>155</v>
      </c>
      <c r="C66" s="44" t="s">
        <v>156</v>
      </c>
      <c r="D66" s="44"/>
      <c r="E66" s="44"/>
      <c r="F66" s="44"/>
    </row>
    <row r="67" spans="1:8" x14ac:dyDescent="0.25">
      <c r="A67" s="39" t="s">
        <v>157</v>
      </c>
      <c r="B67" s="40" t="s">
        <v>158</v>
      </c>
      <c r="C67" s="41" t="s">
        <v>159</v>
      </c>
      <c r="D67" s="41"/>
      <c r="E67" s="41"/>
      <c r="F67" s="41"/>
    </row>
    <row r="68" spans="1:8" x14ac:dyDescent="0.25">
      <c r="A68" s="27"/>
      <c r="B68" s="27"/>
      <c r="C68" s="27"/>
      <c r="D68" s="27"/>
      <c r="E68" s="27"/>
      <c r="F68" s="27"/>
    </row>
    <row r="69" spans="1:8" ht="20.100000000000001" customHeight="1" x14ac:dyDescent="0.25">
      <c r="A69" s="27"/>
      <c r="B69" s="27"/>
      <c r="C69" s="27"/>
      <c r="D69" s="27"/>
      <c r="E69" s="27"/>
      <c r="F69" s="27"/>
    </row>
    <row r="70" spans="1:8" x14ac:dyDescent="0.25">
      <c r="A70" s="25" t="s">
        <v>160</v>
      </c>
      <c r="B70" s="25"/>
      <c r="C70" s="25"/>
      <c r="D70" s="25"/>
      <c r="E70" s="25"/>
      <c r="F70" s="25"/>
      <c r="G70" s="6"/>
      <c r="H70" s="6"/>
    </row>
    <row r="71" spans="1:8" x14ac:dyDescent="0.25">
      <c r="A71" s="30" t="s">
        <v>161</v>
      </c>
      <c r="B71" s="30"/>
      <c r="C71" s="30"/>
      <c r="D71" s="30"/>
      <c r="E71" s="30"/>
      <c r="F71" s="30"/>
    </row>
    <row r="72" spans="1:8" x14ac:dyDescent="0.25">
      <c r="A72" s="30" t="s">
        <v>162</v>
      </c>
      <c r="B72" s="30"/>
      <c r="C72" s="30"/>
      <c r="D72" s="30"/>
      <c r="E72" s="30"/>
      <c r="F72" s="30"/>
    </row>
    <row r="73" spans="1:8" x14ac:dyDescent="0.25">
      <c r="A73" s="30" t="s">
        <v>163</v>
      </c>
      <c r="B73" s="30"/>
      <c r="C73" s="30"/>
      <c r="D73" s="30"/>
      <c r="E73" s="30"/>
      <c r="F73" s="30"/>
    </row>
    <row r="74" spans="1:8" x14ac:dyDescent="0.25">
      <c r="A74" s="30" t="s">
        <v>164</v>
      </c>
      <c r="B74" s="30"/>
      <c r="C74" s="30"/>
      <c r="D74" s="30"/>
      <c r="E74" s="30"/>
      <c r="F74" s="30"/>
    </row>
    <row r="75" spans="1:8" x14ac:dyDescent="0.25">
      <c r="A75" s="30" t="s">
        <v>165</v>
      </c>
      <c r="B75" s="30"/>
      <c r="C75" s="30"/>
      <c r="D75" s="30"/>
      <c r="E75" s="30"/>
      <c r="F75" s="30"/>
    </row>
    <row r="76" spans="1:8" x14ac:dyDescent="0.25">
      <c r="A76" s="30" t="s">
        <v>166</v>
      </c>
      <c r="B76" s="30"/>
      <c r="C76" s="30"/>
      <c r="D76" s="30"/>
      <c r="E76" s="30"/>
      <c r="F76" s="30"/>
    </row>
    <row r="77" spans="1:8" x14ac:dyDescent="0.25">
      <c r="A77" s="30" t="s">
        <v>167</v>
      </c>
      <c r="B77" s="30"/>
      <c r="C77" s="30"/>
      <c r="D77" s="30"/>
      <c r="E77" s="30"/>
      <c r="F77" s="30"/>
    </row>
  </sheetData>
  <mergeCells count="60">
    <mergeCell ref="C67:F67"/>
    <mergeCell ref="C62:F62"/>
    <mergeCell ref="C63:F63"/>
    <mergeCell ref="C64:F64"/>
    <mergeCell ref="C65:F65"/>
    <mergeCell ref="C66:F66"/>
    <mergeCell ref="D54:F54"/>
    <mergeCell ref="D55:F55"/>
    <mergeCell ref="D56:F56"/>
    <mergeCell ref="D57:F57"/>
    <mergeCell ref="D58:F58"/>
    <mergeCell ref="D45:F45"/>
    <mergeCell ref="D46:F46"/>
    <mergeCell ref="D47:F47"/>
    <mergeCell ref="D48:F48"/>
    <mergeCell ref="D53:F53"/>
    <mergeCell ref="A76:F76"/>
    <mergeCell ref="A72:F72"/>
    <mergeCell ref="A35:F35"/>
    <mergeCell ref="A77:F77"/>
    <mergeCell ref="A6:F6"/>
    <mergeCell ref="C9:F9"/>
    <mergeCell ref="C10:F10"/>
    <mergeCell ref="C11:F11"/>
    <mergeCell ref="C12:F12"/>
    <mergeCell ref="C13:F13"/>
    <mergeCell ref="C14:F14"/>
    <mergeCell ref="C18:F18"/>
    <mergeCell ref="C19:F19"/>
    <mergeCell ref="C20:F20"/>
    <mergeCell ref="C21:F21"/>
    <mergeCell ref="C22:F22"/>
    <mergeCell ref="A75:F75"/>
    <mergeCell ref="A4:F4"/>
    <mergeCell ref="A7:F7"/>
    <mergeCell ref="A61:F61"/>
    <mergeCell ref="A52:F52"/>
    <mergeCell ref="A71:F71"/>
    <mergeCell ref="A51:F51"/>
    <mergeCell ref="A43:F43"/>
    <mergeCell ref="E26:F26"/>
    <mergeCell ref="E27:F27"/>
    <mergeCell ref="E28:F28"/>
    <mergeCell ref="E29:F29"/>
    <mergeCell ref="E30:F30"/>
    <mergeCell ref="E31:F31"/>
    <mergeCell ref="E32:F32"/>
    <mergeCell ref="B37:F37"/>
    <mergeCell ref="A74:F74"/>
    <mergeCell ref="A36:F36"/>
    <mergeCell ref="A73:F73"/>
    <mergeCell ref="A17:F17"/>
    <mergeCell ref="A25:F25"/>
    <mergeCell ref="A70:F70"/>
    <mergeCell ref="A1:F1"/>
    <mergeCell ref="A2:F2"/>
    <mergeCell ref="B38:F38"/>
    <mergeCell ref="B39:F39"/>
    <mergeCell ref="B40:F40"/>
    <mergeCell ref="D44:F44"/>
  </mergeCells>
  <pageMargins left="0.25" right="0.25" top="0.5" bottom="0.5"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H60"/>
  <sheetViews>
    <sheetView showGridLines="0" zoomScale="85" workbookViewId="0">
      <pane ySplit="2" topLeftCell="A20" activePane="bottomLeft" state="frozen"/>
      <selection pane="bottomLeft" activeCell="A3" sqref="A3:XFD3"/>
    </sheetView>
  </sheetViews>
  <sheetFormatPr defaultRowHeight="15" x14ac:dyDescent="0.25"/>
  <cols>
    <col min="1" max="1" width="21.85546875" customWidth="1"/>
    <col min="2" max="3" width="22.85546875" customWidth="1"/>
    <col min="4" max="4" width="20" customWidth="1"/>
    <col min="5" max="6" width="18.140625" customWidth="1"/>
    <col min="7" max="8" width="13.28515625" customWidth="1"/>
  </cols>
  <sheetData>
    <row r="1" spans="1:8" ht="32.1" customHeight="1" x14ac:dyDescent="0.25">
      <c r="A1" s="52" t="s">
        <v>168</v>
      </c>
      <c r="B1" s="52"/>
      <c r="C1" s="52"/>
      <c r="D1" s="52"/>
      <c r="E1" s="52"/>
      <c r="F1" s="52"/>
      <c r="G1" s="52"/>
      <c r="H1" s="52"/>
    </row>
    <row r="2" spans="1:8" ht="26.1" customHeight="1" x14ac:dyDescent="0.25">
      <c r="A2" s="53" t="s">
        <v>169</v>
      </c>
      <c r="B2" s="53"/>
      <c r="C2" s="53"/>
      <c r="D2" s="53"/>
      <c r="E2" s="53"/>
      <c r="F2" s="53"/>
      <c r="G2" s="53"/>
      <c r="H2" s="53"/>
    </row>
    <row r="3" spans="1:8" x14ac:dyDescent="0.25">
      <c r="A3" s="27"/>
      <c r="B3" s="27"/>
      <c r="C3" s="27"/>
      <c r="D3" s="27"/>
      <c r="E3" s="27"/>
      <c r="F3" s="27"/>
      <c r="G3" s="27"/>
      <c r="H3" s="27"/>
    </row>
    <row r="4" spans="1:8" x14ac:dyDescent="0.25">
      <c r="A4" s="47" t="s">
        <v>170</v>
      </c>
      <c r="B4" s="46"/>
      <c r="C4" s="46"/>
      <c r="D4" s="46"/>
      <c r="E4" s="46"/>
      <c r="F4" s="46"/>
      <c r="G4" s="27"/>
      <c r="H4" s="27"/>
    </row>
    <row r="5" spans="1:8" x14ac:dyDescent="0.25">
      <c r="A5" s="27"/>
      <c r="B5" s="27"/>
      <c r="C5" s="27"/>
      <c r="D5" s="27"/>
      <c r="E5" s="27"/>
      <c r="F5" s="27"/>
      <c r="G5" s="27"/>
      <c r="H5" s="27"/>
    </row>
    <row r="6" spans="1:8" x14ac:dyDescent="0.25">
      <c r="A6" s="27"/>
      <c r="B6" s="27"/>
      <c r="C6" s="27"/>
      <c r="D6" s="27"/>
      <c r="E6" s="27"/>
      <c r="F6" s="27"/>
      <c r="G6" s="27"/>
      <c r="H6" s="27"/>
    </row>
    <row r="7" spans="1:8" ht="21.95" customHeight="1" x14ac:dyDescent="0.25">
      <c r="A7" s="33" t="s">
        <v>171</v>
      </c>
      <c r="B7" s="33"/>
      <c r="C7" s="33"/>
      <c r="D7" s="33"/>
      <c r="E7" s="33"/>
      <c r="F7" s="33"/>
      <c r="G7" s="54"/>
      <c r="H7" s="54"/>
    </row>
    <row r="8" spans="1:8" x14ac:dyDescent="0.25">
      <c r="A8" s="46" t="s">
        <v>172</v>
      </c>
      <c r="B8" s="46"/>
      <c r="C8" s="46"/>
      <c r="D8" s="46"/>
      <c r="E8" s="46"/>
      <c r="F8" s="46"/>
      <c r="G8" s="27"/>
      <c r="H8" s="27"/>
    </row>
    <row r="9" spans="1:8" ht="21.95" customHeight="1" x14ac:dyDescent="0.25">
      <c r="A9" s="33" t="s">
        <v>173</v>
      </c>
      <c r="B9" s="33"/>
      <c r="C9" s="33"/>
      <c r="D9" s="33"/>
      <c r="E9" s="33"/>
      <c r="F9" s="33"/>
      <c r="G9" s="54"/>
      <c r="H9" s="54"/>
    </row>
    <row r="10" spans="1:8" ht="20.100000000000001" customHeight="1" x14ac:dyDescent="0.25">
      <c r="A10" s="55" t="s">
        <v>174</v>
      </c>
      <c r="B10" s="56"/>
      <c r="C10" s="56"/>
      <c r="D10" s="57"/>
      <c r="E10" s="57"/>
      <c r="F10" s="57"/>
      <c r="G10" s="57"/>
      <c r="H10" s="57"/>
    </row>
    <row r="11" spans="1:8" x14ac:dyDescent="0.25">
      <c r="A11" s="58" t="s">
        <v>175</v>
      </c>
      <c r="B11" s="58" t="s">
        <v>176</v>
      </c>
      <c r="C11" s="58" t="s">
        <v>177</v>
      </c>
      <c r="D11" s="59"/>
      <c r="E11" s="59"/>
      <c r="F11" s="59"/>
      <c r="G11" s="59"/>
      <c r="H11" s="59"/>
    </row>
    <row r="12" spans="1:8" ht="54" x14ac:dyDescent="0.25">
      <c r="A12" s="62" t="s">
        <v>178</v>
      </c>
      <c r="B12" s="62" t="s">
        <v>179</v>
      </c>
      <c r="C12" s="62" t="s">
        <v>180</v>
      </c>
      <c r="D12" s="63"/>
      <c r="E12" s="63"/>
      <c r="F12" s="63"/>
      <c r="G12" s="63"/>
      <c r="H12" s="63"/>
    </row>
    <row r="13" spans="1:8" ht="40.5" x14ac:dyDescent="0.25">
      <c r="A13" s="66" t="s">
        <v>181</v>
      </c>
      <c r="B13" s="66" t="s">
        <v>182</v>
      </c>
      <c r="C13" s="66" t="s">
        <v>183</v>
      </c>
      <c r="D13" s="67"/>
      <c r="E13" s="67"/>
      <c r="F13" s="67"/>
      <c r="G13" s="67"/>
      <c r="H13" s="67"/>
    </row>
    <row r="14" spans="1:8" ht="40.5" x14ac:dyDescent="0.25">
      <c r="A14" s="66" t="s">
        <v>184</v>
      </c>
      <c r="B14" s="66" t="s">
        <v>185</v>
      </c>
      <c r="C14" s="66" t="s">
        <v>186</v>
      </c>
      <c r="D14" s="67"/>
      <c r="E14" s="67"/>
      <c r="F14" s="67"/>
      <c r="G14" s="67"/>
      <c r="H14" s="67"/>
    </row>
    <row r="15" spans="1:8" ht="40.5" x14ac:dyDescent="0.25">
      <c r="A15" s="66" t="s">
        <v>187</v>
      </c>
      <c r="B15" s="66" t="s">
        <v>188</v>
      </c>
      <c r="C15" s="66" t="s">
        <v>189</v>
      </c>
      <c r="D15" s="67"/>
      <c r="E15" s="67"/>
      <c r="F15" s="67"/>
      <c r="G15" s="67"/>
      <c r="H15" s="67"/>
    </row>
    <row r="16" spans="1:8" ht="40.5" x14ac:dyDescent="0.25">
      <c r="A16" s="64" t="s">
        <v>190</v>
      </c>
      <c r="B16" s="64" t="s">
        <v>191</v>
      </c>
      <c r="C16" s="64" t="s">
        <v>192</v>
      </c>
      <c r="D16" s="65"/>
      <c r="E16" s="65"/>
      <c r="F16" s="65"/>
      <c r="G16" s="65"/>
      <c r="H16" s="65"/>
    </row>
    <row r="17" spans="1:8" x14ac:dyDescent="0.25">
      <c r="A17" s="27"/>
      <c r="B17" s="27"/>
      <c r="C17" s="27"/>
      <c r="D17" s="27"/>
      <c r="E17" s="27"/>
      <c r="F17" s="27"/>
      <c r="G17" s="27"/>
      <c r="H17" s="27"/>
    </row>
    <row r="18" spans="1:8" ht="21.95" customHeight="1" x14ac:dyDescent="0.25">
      <c r="A18" s="33" t="s">
        <v>193</v>
      </c>
      <c r="B18" s="33"/>
      <c r="C18" s="33"/>
      <c r="D18" s="33"/>
      <c r="E18" s="33"/>
      <c r="F18" s="33"/>
      <c r="G18" s="54"/>
      <c r="H18" s="54"/>
    </row>
    <row r="19" spans="1:8" ht="24" customHeight="1" x14ac:dyDescent="0.25">
      <c r="A19" s="198" t="s">
        <v>194</v>
      </c>
      <c r="B19" s="199"/>
      <c r="C19" s="199"/>
      <c r="D19" s="199"/>
      <c r="E19" s="199"/>
      <c r="F19" s="199"/>
      <c r="G19" s="200"/>
      <c r="H19" s="200"/>
    </row>
    <row r="20" spans="1:8" ht="24" customHeight="1" x14ac:dyDescent="0.25">
      <c r="A20" s="204" t="s">
        <v>195</v>
      </c>
      <c r="B20" s="205"/>
      <c r="C20" s="205"/>
      <c r="D20" s="205"/>
      <c r="E20" s="205"/>
      <c r="F20" s="205"/>
      <c r="G20" s="206"/>
      <c r="H20" s="206"/>
    </row>
    <row r="21" spans="1:8" ht="24" customHeight="1" x14ac:dyDescent="0.25">
      <c r="A21" s="204" t="s">
        <v>196</v>
      </c>
      <c r="B21" s="205"/>
      <c r="C21" s="205"/>
      <c r="D21" s="205"/>
      <c r="E21" s="205"/>
      <c r="F21" s="205"/>
      <c r="G21" s="206"/>
      <c r="H21" s="206"/>
    </row>
    <row r="22" spans="1:8" ht="24" customHeight="1" x14ac:dyDescent="0.25">
      <c r="A22" s="204" t="s">
        <v>197</v>
      </c>
      <c r="B22" s="205"/>
      <c r="C22" s="205"/>
      <c r="D22" s="205"/>
      <c r="E22" s="205"/>
      <c r="F22" s="205"/>
      <c r="G22" s="206"/>
      <c r="H22" s="206"/>
    </row>
    <row r="23" spans="1:8" ht="24" customHeight="1" x14ac:dyDescent="0.25">
      <c r="A23" s="201" t="s">
        <v>198</v>
      </c>
      <c r="B23" s="202"/>
      <c r="C23" s="202"/>
      <c r="D23" s="202"/>
      <c r="E23" s="202"/>
      <c r="F23" s="202"/>
      <c r="G23" s="203"/>
      <c r="H23" s="203"/>
    </row>
    <row r="24" spans="1:8" ht="21.95" customHeight="1" x14ac:dyDescent="0.25">
      <c r="A24" s="33" t="s">
        <v>199</v>
      </c>
      <c r="B24" s="33"/>
      <c r="C24" s="33"/>
      <c r="D24" s="33"/>
      <c r="E24" s="33"/>
      <c r="F24" s="33"/>
      <c r="G24" s="54"/>
      <c r="H24" s="54"/>
    </row>
    <row r="25" spans="1:8" x14ac:dyDescent="0.25">
      <c r="A25" s="51" t="s">
        <v>200</v>
      </c>
      <c r="B25" s="46"/>
      <c r="C25" s="46"/>
      <c r="D25" s="46"/>
      <c r="E25" s="46"/>
      <c r="F25" s="46"/>
      <c r="G25" s="27"/>
      <c r="H25" s="27"/>
    </row>
    <row r="26" spans="1:8" x14ac:dyDescent="0.25">
      <c r="A26" s="46" t="s">
        <v>201</v>
      </c>
      <c r="B26" s="46"/>
      <c r="C26" s="46"/>
      <c r="D26" s="46"/>
      <c r="E26" s="46"/>
      <c r="F26" s="46"/>
      <c r="G26" s="27"/>
      <c r="H26" s="27"/>
    </row>
    <row r="27" spans="1:8" ht="21.95" customHeight="1" x14ac:dyDescent="0.25">
      <c r="A27" s="33" t="s">
        <v>202</v>
      </c>
      <c r="B27" s="33"/>
      <c r="C27" s="33"/>
      <c r="D27" s="33"/>
      <c r="E27" s="33"/>
      <c r="F27" s="33"/>
      <c r="G27" s="54"/>
      <c r="H27" s="54"/>
    </row>
    <row r="28" spans="1:8" ht="40.5" x14ac:dyDescent="0.25">
      <c r="A28" s="60" t="s">
        <v>203</v>
      </c>
      <c r="B28" s="60" t="s">
        <v>204</v>
      </c>
      <c r="C28" s="60" t="s">
        <v>205</v>
      </c>
      <c r="D28" s="61"/>
      <c r="E28" s="61"/>
      <c r="F28" s="61"/>
      <c r="G28" s="61"/>
      <c r="H28" s="61"/>
    </row>
    <row r="29" spans="1:8" x14ac:dyDescent="0.25">
      <c r="A29" s="27"/>
      <c r="B29" s="27"/>
      <c r="C29" s="27"/>
      <c r="D29" s="27"/>
      <c r="E29" s="27"/>
      <c r="F29" s="27"/>
      <c r="G29" s="27"/>
      <c r="H29" s="27"/>
    </row>
    <row r="30" spans="1:8" x14ac:dyDescent="0.25">
      <c r="A30" s="27"/>
      <c r="B30" s="27"/>
      <c r="C30" s="27"/>
      <c r="D30" s="27"/>
      <c r="E30" s="27"/>
      <c r="F30" s="27"/>
      <c r="G30" s="27"/>
      <c r="H30" s="27"/>
    </row>
    <row r="31" spans="1:8" ht="21.95" customHeight="1" x14ac:dyDescent="0.25">
      <c r="A31" s="33" t="s">
        <v>206</v>
      </c>
      <c r="B31" s="33"/>
      <c r="C31" s="33"/>
      <c r="D31" s="33"/>
      <c r="E31" s="33"/>
      <c r="F31" s="33"/>
      <c r="G31" s="54"/>
      <c r="H31" s="54"/>
    </row>
    <row r="32" spans="1:8" x14ac:dyDescent="0.25">
      <c r="A32" s="46" t="s">
        <v>207</v>
      </c>
      <c r="B32" s="46"/>
      <c r="C32" s="46"/>
      <c r="D32" s="46"/>
      <c r="E32" s="46"/>
      <c r="F32" s="46"/>
      <c r="G32" s="27"/>
      <c r="H32" s="27"/>
    </row>
    <row r="33" spans="1:8" ht="21.95" customHeight="1" x14ac:dyDescent="0.25">
      <c r="A33" s="33" t="s">
        <v>208</v>
      </c>
      <c r="B33" s="33"/>
      <c r="C33" s="33"/>
      <c r="D33" s="33"/>
      <c r="E33" s="33"/>
      <c r="F33" s="33"/>
      <c r="G33" s="54"/>
      <c r="H33" s="54"/>
    </row>
    <row r="34" spans="1:8" ht="20.100000000000001" customHeight="1" x14ac:dyDescent="0.25">
      <c r="A34" s="55" t="s">
        <v>209</v>
      </c>
      <c r="B34" s="56"/>
      <c r="C34" s="56"/>
      <c r="D34" s="56"/>
      <c r="E34" s="56"/>
      <c r="F34" s="57"/>
      <c r="G34" s="57"/>
      <c r="H34" s="57"/>
    </row>
    <row r="35" spans="1:8" x14ac:dyDescent="0.25">
      <c r="A35" s="69" t="s">
        <v>210</v>
      </c>
      <c r="B35" s="69" t="s">
        <v>211</v>
      </c>
      <c r="C35" s="69" t="s">
        <v>212</v>
      </c>
      <c r="D35" s="69" t="s">
        <v>213</v>
      </c>
      <c r="E35" s="69" t="s">
        <v>214</v>
      </c>
      <c r="F35" s="70"/>
      <c r="G35" s="70"/>
      <c r="H35" s="70"/>
    </row>
    <row r="36" spans="1:8" ht="94.5" x14ac:dyDescent="0.25">
      <c r="A36" s="66" t="s">
        <v>215</v>
      </c>
      <c r="B36" s="66" t="s">
        <v>216</v>
      </c>
      <c r="C36" s="66" t="s">
        <v>217</v>
      </c>
      <c r="D36" s="66" t="s">
        <v>218</v>
      </c>
      <c r="E36" s="66" t="s">
        <v>219</v>
      </c>
      <c r="F36" s="67"/>
      <c r="G36" s="67"/>
      <c r="H36" s="67"/>
    </row>
    <row r="37" spans="1:8" ht="81" x14ac:dyDescent="0.25">
      <c r="A37" s="64" t="s">
        <v>220</v>
      </c>
      <c r="B37" s="64" t="s">
        <v>221</v>
      </c>
      <c r="C37" s="64" t="s">
        <v>222</v>
      </c>
      <c r="D37" s="64" t="s">
        <v>223</v>
      </c>
      <c r="E37" s="64" t="s">
        <v>224</v>
      </c>
      <c r="F37" s="65"/>
      <c r="G37" s="65"/>
      <c r="H37" s="65"/>
    </row>
    <row r="38" spans="1:8" x14ac:dyDescent="0.25">
      <c r="A38" s="27"/>
      <c r="B38" s="27"/>
      <c r="C38" s="27"/>
      <c r="D38" s="27"/>
      <c r="E38" s="27"/>
      <c r="F38" s="27"/>
      <c r="G38" s="27"/>
      <c r="H38" s="27"/>
    </row>
    <row r="39" spans="1:8" ht="21.95" customHeight="1" x14ac:dyDescent="0.25">
      <c r="A39" s="33" t="s">
        <v>225</v>
      </c>
      <c r="B39" s="33"/>
      <c r="C39" s="33"/>
      <c r="D39" s="33"/>
      <c r="E39" s="33"/>
      <c r="F39" s="33"/>
      <c r="G39" s="54"/>
      <c r="H39" s="54"/>
    </row>
    <row r="40" spans="1:8" ht="20.100000000000001" customHeight="1" x14ac:dyDescent="0.25">
      <c r="A40" s="55" t="s">
        <v>226</v>
      </c>
      <c r="B40" s="56"/>
      <c r="C40" s="56"/>
      <c r="D40" s="56"/>
      <c r="E40" s="56"/>
      <c r="F40" s="57"/>
      <c r="G40" s="57"/>
      <c r="H40" s="57"/>
    </row>
    <row r="41" spans="1:8" x14ac:dyDescent="0.25">
      <c r="A41" s="69" t="s">
        <v>210</v>
      </c>
      <c r="B41" s="69" t="s">
        <v>211</v>
      </c>
      <c r="C41" s="69" t="s">
        <v>212</v>
      </c>
      <c r="D41" s="69" t="s">
        <v>213</v>
      </c>
      <c r="E41" s="69" t="s">
        <v>214</v>
      </c>
      <c r="F41" s="70"/>
      <c r="G41" s="70"/>
      <c r="H41" s="70"/>
    </row>
    <row r="42" spans="1:8" ht="135" x14ac:dyDescent="0.25">
      <c r="A42" s="66" t="s">
        <v>227</v>
      </c>
      <c r="B42" s="66" t="s">
        <v>228</v>
      </c>
      <c r="C42" s="66" t="s">
        <v>229</v>
      </c>
      <c r="D42" s="66" t="s">
        <v>230</v>
      </c>
      <c r="E42" s="66" t="s">
        <v>231</v>
      </c>
      <c r="F42" s="67"/>
      <c r="G42" s="67"/>
      <c r="H42" s="67"/>
    </row>
    <row r="43" spans="1:8" ht="67.5" x14ac:dyDescent="0.25">
      <c r="A43" s="66" t="s">
        <v>232</v>
      </c>
      <c r="B43" s="66" t="s">
        <v>233</v>
      </c>
      <c r="C43" s="66" t="s">
        <v>234</v>
      </c>
      <c r="D43" s="66" t="s">
        <v>235</v>
      </c>
      <c r="E43" s="66" t="s">
        <v>236</v>
      </c>
      <c r="F43" s="67"/>
      <c r="G43" s="67"/>
      <c r="H43" s="67"/>
    </row>
    <row r="44" spans="1:8" ht="67.5" x14ac:dyDescent="0.25">
      <c r="A44" s="64" t="s">
        <v>237</v>
      </c>
      <c r="B44" s="64" t="s">
        <v>238</v>
      </c>
      <c r="C44" s="64" t="s">
        <v>239</v>
      </c>
      <c r="D44" s="64" t="s">
        <v>240</v>
      </c>
      <c r="E44" s="64" t="s">
        <v>241</v>
      </c>
      <c r="F44" s="65"/>
      <c r="G44" s="65"/>
      <c r="H44" s="65"/>
    </row>
    <row r="45" spans="1:8" x14ac:dyDescent="0.25">
      <c r="A45" s="27"/>
      <c r="B45" s="27"/>
      <c r="C45" s="27"/>
      <c r="D45" s="27"/>
      <c r="E45" s="27"/>
      <c r="F45" s="27"/>
      <c r="G45" s="27"/>
      <c r="H45" s="27"/>
    </row>
    <row r="46" spans="1:8" ht="21.95" customHeight="1" x14ac:dyDescent="0.25">
      <c r="A46" s="33" t="s">
        <v>242</v>
      </c>
      <c r="B46" s="33"/>
      <c r="C46" s="33"/>
      <c r="D46" s="33"/>
      <c r="E46" s="33"/>
      <c r="F46" s="33"/>
      <c r="G46" s="54"/>
      <c r="H46" s="54"/>
    </row>
    <row r="47" spans="1:8" ht="20.100000000000001" customHeight="1" x14ac:dyDescent="0.25">
      <c r="A47" s="55" t="s">
        <v>243</v>
      </c>
      <c r="B47" s="56"/>
      <c r="C47" s="56"/>
      <c r="D47" s="56"/>
      <c r="E47" s="56"/>
      <c r="F47" s="57"/>
      <c r="G47" s="57"/>
      <c r="H47" s="57"/>
    </row>
    <row r="48" spans="1:8" x14ac:dyDescent="0.25">
      <c r="A48" s="69" t="s">
        <v>210</v>
      </c>
      <c r="B48" s="69" t="s">
        <v>211</v>
      </c>
      <c r="C48" s="69" t="s">
        <v>212</v>
      </c>
      <c r="D48" s="69" t="s">
        <v>213</v>
      </c>
      <c r="E48" s="69" t="s">
        <v>214</v>
      </c>
      <c r="F48" s="70"/>
      <c r="G48" s="70"/>
      <c r="H48" s="70"/>
    </row>
    <row r="49" spans="1:8" ht="81" x14ac:dyDescent="0.25">
      <c r="A49" s="66" t="s">
        <v>244</v>
      </c>
      <c r="B49" s="66" t="s">
        <v>245</v>
      </c>
      <c r="C49" s="66" t="s">
        <v>246</v>
      </c>
      <c r="D49" s="66" t="s">
        <v>247</v>
      </c>
      <c r="E49" s="66" t="s">
        <v>248</v>
      </c>
      <c r="F49" s="67"/>
      <c r="G49" s="67"/>
      <c r="H49" s="67"/>
    </row>
    <row r="50" spans="1:8" ht="54" x14ac:dyDescent="0.25">
      <c r="A50" s="64" t="s">
        <v>249</v>
      </c>
      <c r="B50" s="64" t="s">
        <v>250</v>
      </c>
      <c r="C50" s="64" t="s">
        <v>251</v>
      </c>
      <c r="D50" s="64" t="s">
        <v>252</v>
      </c>
      <c r="E50" s="64" t="s">
        <v>253</v>
      </c>
      <c r="F50" s="65"/>
      <c r="G50" s="65"/>
      <c r="H50" s="65"/>
    </row>
    <row r="51" spans="1:8" x14ac:dyDescent="0.25">
      <c r="A51" s="27"/>
      <c r="B51" s="27"/>
      <c r="C51" s="27"/>
      <c r="D51" s="27"/>
      <c r="E51" s="27"/>
      <c r="F51" s="27"/>
      <c r="G51" s="27"/>
      <c r="H51" s="27"/>
    </row>
    <row r="52" spans="1:8" x14ac:dyDescent="0.25">
      <c r="A52" s="27"/>
      <c r="B52" s="27"/>
      <c r="C52" s="27"/>
      <c r="D52" s="27"/>
      <c r="E52" s="27"/>
      <c r="F52" s="27"/>
      <c r="G52" s="27"/>
      <c r="H52" s="27"/>
    </row>
    <row r="53" spans="1:8" x14ac:dyDescent="0.25">
      <c r="A53" s="48" t="s">
        <v>254</v>
      </c>
      <c r="B53" s="49"/>
      <c r="C53" s="49"/>
      <c r="D53" s="49"/>
      <c r="E53" s="49"/>
      <c r="F53" s="49"/>
      <c r="G53" s="50"/>
      <c r="H53" s="50"/>
    </row>
    <row r="54" spans="1:8" x14ac:dyDescent="0.25">
      <c r="A54" s="49" t="s">
        <v>255</v>
      </c>
      <c r="B54" s="46"/>
      <c r="C54" s="46"/>
      <c r="D54" s="46"/>
      <c r="E54" s="46"/>
      <c r="F54" s="46"/>
      <c r="G54" s="27"/>
      <c r="H54" s="27"/>
    </row>
    <row r="55" spans="1:8" x14ac:dyDescent="0.25">
      <c r="A55" s="49" t="s">
        <v>256</v>
      </c>
      <c r="B55" s="46"/>
      <c r="C55" s="46"/>
      <c r="D55" s="46"/>
      <c r="E55" s="46"/>
      <c r="F55" s="46"/>
      <c r="G55" s="27"/>
      <c r="H55" s="27"/>
    </row>
    <row r="56" spans="1:8" x14ac:dyDescent="0.25">
      <c r="A56" s="49" t="s">
        <v>257</v>
      </c>
      <c r="B56" s="46"/>
      <c r="C56" s="46"/>
      <c r="D56" s="46"/>
      <c r="E56" s="46"/>
      <c r="F56" s="46"/>
      <c r="G56" s="27"/>
      <c r="H56" s="27"/>
    </row>
    <row r="57" spans="1:8" x14ac:dyDescent="0.25">
      <c r="A57" s="49" t="s">
        <v>258</v>
      </c>
      <c r="B57" s="46"/>
      <c r="C57" s="46"/>
      <c r="D57" s="46"/>
      <c r="E57" s="46"/>
      <c r="F57" s="46"/>
      <c r="G57" s="27"/>
      <c r="H57" s="27"/>
    </row>
    <row r="58" spans="1:8" x14ac:dyDescent="0.25">
      <c r="A58" s="49" t="s">
        <v>165</v>
      </c>
      <c r="B58" s="46"/>
      <c r="C58" s="46"/>
      <c r="D58" s="46"/>
      <c r="E58" s="46"/>
      <c r="F58" s="46"/>
      <c r="G58" s="27"/>
      <c r="H58" s="27"/>
    </row>
    <row r="59" spans="1:8" x14ac:dyDescent="0.25">
      <c r="A59" s="49" t="s">
        <v>163</v>
      </c>
      <c r="B59" s="46"/>
      <c r="C59" s="46"/>
      <c r="D59" s="46"/>
      <c r="E59" s="46"/>
      <c r="F59" s="46"/>
      <c r="G59" s="27"/>
      <c r="H59" s="27"/>
    </row>
    <row r="60" spans="1:8" x14ac:dyDescent="0.25">
      <c r="A60" s="49" t="s">
        <v>167</v>
      </c>
      <c r="B60" s="46"/>
      <c r="C60" s="46"/>
      <c r="D60" s="46"/>
      <c r="E60" s="46"/>
      <c r="F60" s="46"/>
      <c r="G60" s="27"/>
      <c r="H60" s="27"/>
    </row>
  </sheetData>
  <mergeCells count="33">
    <mergeCell ref="A59:F59"/>
    <mergeCell ref="A60:F60"/>
    <mergeCell ref="A24:F24"/>
    <mergeCell ref="A57:F57"/>
    <mergeCell ref="A33:F33"/>
    <mergeCell ref="A39:F39"/>
    <mergeCell ref="A58:F58"/>
    <mergeCell ref="A23:F23"/>
    <mergeCell ref="A34:E34"/>
    <mergeCell ref="A56:F56"/>
    <mergeCell ref="A32:F32"/>
    <mergeCell ref="A46:F46"/>
    <mergeCell ref="A4:F4"/>
    <mergeCell ref="A22:F22"/>
    <mergeCell ref="A31:F31"/>
    <mergeCell ref="A40:E40"/>
    <mergeCell ref="A7:F7"/>
    <mergeCell ref="A21:F21"/>
    <mergeCell ref="A19:F19"/>
    <mergeCell ref="A9:F9"/>
    <mergeCell ref="A27:F27"/>
    <mergeCell ref="A18:F18"/>
    <mergeCell ref="A8:F8"/>
    <mergeCell ref="A10:C10"/>
    <mergeCell ref="A53:F53"/>
    <mergeCell ref="A47:E47"/>
    <mergeCell ref="A26:F26"/>
    <mergeCell ref="A55:F55"/>
    <mergeCell ref="A1:H1"/>
    <mergeCell ref="A25:F25"/>
    <mergeCell ref="A20:F20"/>
    <mergeCell ref="A54:F54"/>
    <mergeCell ref="A2:H2"/>
  </mergeCells>
  <pageMargins left="0.25" right="0.25" top="0.5" bottom="0.5"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F89"/>
  <sheetViews>
    <sheetView showGridLines="0" zoomScale="85" workbookViewId="0">
      <pane ySplit="2" topLeftCell="A10" activePane="bottomLeft" state="frozen"/>
      <selection pane="bottomLeft" activeCell="J20" sqref="J20"/>
    </sheetView>
  </sheetViews>
  <sheetFormatPr defaultRowHeight="15" x14ac:dyDescent="0.25"/>
  <cols>
    <col min="1" max="1" width="24.7109375" customWidth="1"/>
    <col min="2" max="2" width="32.42578125" customWidth="1"/>
    <col min="3" max="4" width="28.5703125" customWidth="1"/>
    <col min="5" max="6" width="18.140625" customWidth="1"/>
    <col min="7" max="8" width="5.7109375" customWidth="1"/>
  </cols>
  <sheetData>
    <row r="1" spans="1:6" ht="32.1" customHeight="1" x14ac:dyDescent="0.25">
      <c r="A1" s="52" t="s">
        <v>259</v>
      </c>
      <c r="B1" s="52"/>
      <c r="C1" s="52"/>
      <c r="D1" s="52"/>
      <c r="E1" s="52"/>
      <c r="F1" s="52"/>
    </row>
    <row r="2" spans="1:6" ht="26.1" customHeight="1" x14ac:dyDescent="0.25">
      <c r="A2" s="53" t="s">
        <v>260</v>
      </c>
      <c r="B2" s="53"/>
      <c r="C2" s="53"/>
      <c r="D2" s="53"/>
      <c r="E2" s="53"/>
      <c r="F2" s="53"/>
    </row>
    <row r="3" spans="1:6" x14ac:dyDescent="0.25">
      <c r="A3" s="27"/>
      <c r="B3" s="27"/>
      <c r="C3" s="27"/>
      <c r="D3" s="27"/>
      <c r="E3" s="27"/>
      <c r="F3" s="27"/>
    </row>
    <row r="4" spans="1:6" x14ac:dyDescent="0.25">
      <c r="A4" s="46" t="s">
        <v>261</v>
      </c>
      <c r="B4" s="46"/>
      <c r="C4" s="46"/>
      <c r="D4" s="46"/>
      <c r="E4" s="46"/>
      <c r="F4" s="46"/>
    </row>
    <row r="5" spans="1:6" x14ac:dyDescent="0.25">
      <c r="A5" s="27"/>
      <c r="B5" s="27"/>
      <c r="C5" s="27"/>
      <c r="D5" s="27"/>
      <c r="E5" s="27"/>
      <c r="F5" s="27"/>
    </row>
    <row r="6" spans="1:6" x14ac:dyDescent="0.25">
      <c r="A6" s="27"/>
      <c r="B6" s="27"/>
      <c r="C6" s="27"/>
      <c r="D6" s="27"/>
      <c r="E6" s="27"/>
      <c r="F6" s="27"/>
    </row>
    <row r="7" spans="1:6" ht="21.95" customHeight="1" x14ac:dyDescent="0.25">
      <c r="A7" s="68" t="s">
        <v>262</v>
      </c>
      <c r="B7" s="68"/>
      <c r="C7" s="68"/>
      <c r="D7" s="68"/>
      <c r="E7" s="68"/>
      <c r="F7" s="68"/>
    </row>
    <row r="8" spans="1:6" x14ac:dyDescent="0.25">
      <c r="A8" s="46" t="s">
        <v>263</v>
      </c>
      <c r="B8" s="46"/>
      <c r="C8" s="46"/>
      <c r="D8" s="46"/>
      <c r="E8" s="46"/>
      <c r="F8" s="46"/>
    </row>
    <row r="9" spans="1:6" ht="24" customHeight="1" x14ac:dyDescent="0.25">
      <c r="A9" s="209" t="s">
        <v>264</v>
      </c>
      <c r="B9" s="209" t="s">
        <v>265</v>
      </c>
      <c r="C9" s="210" t="s">
        <v>266</v>
      </c>
      <c r="D9" s="210"/>
      <c r="E9" s="210"/>
      <c r="F9" s="210"/>
    </row>
    <row r="10" spans="1:6" ht="40.5" x14ac:dyDescent="0.25">
      <c r="A10" s="67" t="s">
        <v>267</v>
      </c>
      <c r="B10" s="67" t="s">
        <v>268</v>
      </c>
      <c r="C10" s="73" t="s">
        <v>269</v>
      </c>
      <c r="D10" s="73"/>
      <c r="E10" s="73"/>
      <c r="F10" s="73"/>
    </row>
    <row r="11" spans="1:6" ht="40.5" x14ac:dyDescent="0.25">
      <c r="A11" s="67" t="s">
        <v>270</v>
      </c>
      <c r="B11" s="67" t="s">
        <v>271</v>
      </c>
      <c r="C11" s="73" t="s">
        <v>272</v>
      </c>
      <c r="D11" s="73"/>
      <c r="E11" s="73"/>
      <c r="F11" s="73"/>
    </row>
    <row r="12" spans="1:6" ht="40.5" x14ac:dyDescent="0.25">
      <c r="A12" s="67" t="s">
        <v>273</v>
      </c>
      <c r="B12" s="67" t="s">
        <v>274</v>
      </c>
      <c r="C12" s="73" t="s">
        <v>275</v>
      </c>
      <c r="D12" s="73"/>
      <c r="E12" s="73"/>
      <c r="F12" s="73"/>
    </row>
    <row r="13" spans="1:6" ht="40.5" x14ac:dyDescent="0.25">
      <c r="A13" s="67" t="s">
        <v>276</v>
      </c>
      <c r="B13" s="67" t="s">
        <v>277</v>
      </c>
      <c r="C13" s="73" t="s">
        <v>278</v>
      </c>
      <c r="D13" s="73"/>
      <c r="E13" s="73"/>
      <c r="F13" s="73"/>
    </row>
    <row r="14" spans="1:6" ht="40.5" x14ac:dyDescent="0.25">
      <c r="A14" s="65" t="s">
        <v>279</v>
      </c>
      <c r="B14" s="65" t="s">
        <v>280</v>
      </c>
      <c r="C14" s="72" t="s">
        <v>281</v>
      </c>
      <c r="D14" s="72"/>
      <c r="E14" s="72"/>
      <c r="F14" s="72"/>
    </row>
    <row r="15" spans="1:6" x14ac:dyDescent="0.25">
      <c r="A15" s="27"/>
      <c r="B15" s="27"/>
      <c r="C15" s="27"/>
      <c r="D15" s="27"/>
      <c r="E15" s="27"/>
      <c r="F15" s="27"/>
    </row>
    <row r="16" spans="1:6" ht="20.100000000000001" customHeight="1" x14ac:dyDescent="0.25">
      <c r="A16" s="56" t="s">
        <v>282</v>
      </c>
      <c r="B16" s="56"/>
      <c r="C16" s="56"/>
      <c r="D16" s="56"/>
      <c r="E16" s="56"/>
      <c r="F16" s="56"/>
    </row>
    <row r="17" spans="1:6" x14ac:dyDescent="0.25">
      <c r="A17" s="27"/>
      <c r="B17" s="27"/>
      <c r="C17" s="27"/>
      <c r="D17" s="27"/>
      <c r="E17" s="27"/>
      <c r="F17" s="27"/>
    </row>
    <row r="18" spans="1:6" ht="21.95" customHeight="1" x14ac:dyDescent="0.25">
      <c r="A18" s="68" t="s">
        <v>283</v>
      </c>
      <c r="B18" s="68"/>
      <c r="C18" s="68"/>
      <c r="D18" s="68"/>
      <c r="E18" s="68"/>
      <c r="F18" s="68"/>
    </row>
    <row r="19" spans="1:6" x14ac:dyDescent="0.25">
      <c r="A19" s="46" t="s">
        <v>284</v>
      </c>
      <c r="B19" s="46"/>
      <c r="C19" s="46"/>
      <c r="D19" s="46"/>
      <c r="E19" s="46"/>
      <c r="F19" s="46"/>
    </row>
    <row r="20" spans="1:6" ht="21.95" customHeight="1" x14ac:dyDescent="0.25">
      <c r="A20" s="207" t="s">
        <v>285</v>
      </c>
      <c r="B20" s="207"/>
      <c r="C20" s="207"/>
      <c r="D20" s="207"/>
      <c r="E20" s="207"/>
      <c r="F20" s="207"/>
    </row>
    <row r="21" spans="1:6" x14ac:dyDescent="0.25">
      <c r="A21" s="46" t="s">
        <v>286</v>
      </c>
      <c r="B21" s="46"/>
      <c r="C21" s="46"/>
      <c r="D21" s="46"/>
      <c r="E21" s="46"/>
      <c r="F21" s="46"/>
    </row>
    <row r="22" spans="1:6" ht="21.95" customHeight="1" x14ac:dyDescent="0.25">
      <c r="A22" s="207" t="s">
        <v>287</v>
      </c>
      <c r="B22" s="207"/>
      <c r="C22" s="207"/>
      <c r="D22" s="207"/>
      <c r="E22" s="207"/>
      <c r="F22" s="207"/>
    </row>
    <row r="23" spans="1:6" ht="24" customHeight="1" x14ac:dyDescent="0.25">
      <c r="A23" s="208" t="s">
        <v>288</v>
      </c>
      <c r="B23" s="208"/>
      <c r="C23" s="208"/>
      <c r="D23" s="208"/>
      <c r="E23" s="208"/>
      <c r="F23" s="208"/>
    </row>
    <row r="24" spans="1:6" ht="24" customHeight="1" x14ac:dyDescent="0.25">
      <c r="A24" s="208" t="s">
        <v>289</v>
      </c>
      <c r="B24" s="208"/>
      <c r="C24" s="208"/>
      <c r="D24" s="208"/>
      <c r="E24" s="208"/>
      <c r="F24" s="208"/>
    </row>
    <row r="25" spans="1:6" ht="24" customHeight="1" x14ac:dyDescent="0.25">
      <c r="A25" s="208" t="s">
        <v>290</v>
      </c>
      <c r="B25" s="208"/>
      <c r="C25" s="208"/>
      <c r="D25" s="208"/>
      <c r="E25" s="208"/>
      <c r="F25" s="208"/>
    </row>
    <row r="26" spans="1:6" ht="24" customHeight="1" x14ac:dyDescent="0.25">
      <c r="A26" s="208" t="s">
        <v>291</v>
      </c>
      <c r="B26" s="208"/>
      <c r="C26" s="208"/>
      <c r="D26" s="208"/>
      <c r="E26" s="208"/>
      <c r="F26" s="208"/>
    </row>
    <row r="27" spans="1:6" ht="24" customHeight="1" x14ac:dyDescent="0.25">
      <c r="A27" s="208" t="s">
        <v>292</v>
      </c>
      <c r="B27" s="208"/>
      <c r="C27" s="208"/>
      <c r="D27" s="208"/>
      <c r="E27" s="208"/>
      <c r="F27" s="208"/>
    </row>
    <row r="28" spans="1:6" ht="21.95" customHeight="1" x14ac:dyDescent="0.25">
      <c r="A28" s="207" t="s">
        <v>293</v>
      </c>
      <c r="B28" s="207"/>
      <c r="C28" s="207"/>
      <c r="D28" s="207"/>
      <c r="E28" s="207"/>
      <c r="F28" s="207"/>
    </row>
    <row r="29" spans="1:6" x14ac:dyDescent="0.25">
      <c r="A29" s="46" t="s">
        <v>294</v>
      </c>
      <c r="B29" s="46"/>
      <c r="C29" s="46"/>
      <c r="D29" s="46"/>
      <c r="E29" s="46"/>
      <c r="F29" s="46"/>
    </row>
    <row r="30" spans="1:6" x14ac:dyDescent="0.25">
      <c r="A30" s="46" t="s">
        <v>295</v>
      </c>
      <c r="B30" s="46"/>
      <c r="C30" s="46"/>
      <c r="D30" s="46"/>
      <c r="E30" s="46"/>
      <c r="F30" s="46"/>
    </row>
    <row r="31" spans="1:6" ht="21.95" customHeight="1" x14ac:dyDescent="0.25">
      <c r="A31" s="207" t="s">
        <v>296</v>
      </c>
      <c r="B31" s="207"/>
      <c r="C31" s="207"/>
      <c r="D31" s="207"/>
      <c r="E31" s="207"/>
      <c r="F31" s="207"/>
    </row>
    <row r="32" spans="1:6" x14ac:dyDescent="0.25">
      <c r="A32" s="46" t="s">
        <v>297</v>
      </c>
      <c r="B32" s="46"/>
      <c r="C32" s="46"/>
      <c r="D32" s="46"/>
      <c r="E32" s="46"/>
      <c r="F32" s="46"/>
    </row>
    <row r="33" spans="1:6" x14ac:dyDescent="0.25">
      <c r="A33" s="27"/>
      <c r="B33" s="27"/>
      <c r="C33" s="27"/>
      <c r="D33" s="27"/>
      <c r="E33" s="27"/>
      <c r="F33" s="27"/>
    </row>
    <row r="34" spans="1:6" x14ac:dyDescent="0.25">
      <c r="A34" s="27"/>
      <c r="B34" s="27"/>
      <c r="C34" s="27"/>
      <c r="D34" s="27"/>
      <c r="E34" s="27"/>
      <c r="F34" s="27"/>
    </row>
    <row r="35" spans="1:6" ht="21.95" customHeight="1" x14ac:dyDescent="0.25">
      <c r="A35" s="68" t="s">
        <v>298</v>
      </c>
      <c r="B35" s="68"/>
      <c r="C35" s="68"/>
      <c r="D35" s="68"/>
      <c r="E35" s="68"/>
      <c r="F35" s="68"/>
    </row>
    <row r="36" spans="1:6" x14ac:dyDescent="0.25">
      <c r="A36" s="46" t="s">
        <v>299</v>
      </c>
      <c r="B36" s="46"/>
      <c r="C36" s="46"/>
      <c r="D36" s="46"/>
      <c r="E36" s="46"/>
      <c r="F36" s="46"/>
    </row>
    <row r="37" spans="1:6" ht="21.95" customHeight="1" x14ac:dyDescent="0.25">
      <c r="A37" s="207" t="s">
        <v>300</v>
      </c>
      <c r="B37" s="207"/>
      <c r="C37" s="207"/>
      <c r="D37" s="207"/>
      <c r="E37" s="207"/>
      <c r="F37" s="207"/>
    </row>
    <row r="38" spans="1:6" ht="24" customHeight="1" x14ac:dyDescent="0.25">
      <c r="A38" s="59" t="s">
        <v>301</v>
      </c>
      <c r="B38" s="59" t="s">
        <v>302</v>
      </c>
      <c r="C38" s="59" t="s">
        <v>303</v>
      </c>
      <c r="D38" s="74" t="s">
        <v>304</v>
      </c>
      <c r="E38" s="74"/>
      <c r="F38" s="74"/>
    </row>
    <row r="39" spans="1:6" ht="40.5" x14ac:dyDescent="0.25">
      <c r="A39" s="63" t="s">
        <v>305</v>
      </c>
      <c r="B39" s="63" t="s">
        <v>306</v>
      </c>
      <c r="C39" s="63" t="s">
        <v>307</v>
      </c>
      <c r="D39" s="71" t="s">
        <v>308</v>
      </c>
      <c r="E39" s="71"/>
      <c r="F39" s="71"/>
    </row>
    <row r="40" spans="1:6" ht="27" x14ac:dyDescent="0.25">
      <c r="A40" s="65" t="s">
        <v>309</v>
      </c>
      <c r="B40" s="65" t="s">
        <v>310</v>
      </c>
      <c r="C40" s="65" t="s">
        <v>311</v>
      </c>
      <c r="D40" s="72" t="s">
        <v>312</v>
      </c>
      <c r="E40" s="72"/>
      <c r="F40" s="72"/>
    </row>
    <row r="41" spans="1:6" x14ac:dyDescent="0.25">
      <c r="A41" s="27"/>
      <c r="B41" s="27"/>
      <c r="C41" s="27"/>
      <c r="D41" s="27"/>
      <c r="E41" s="27"/>
      <c r="F41" s="27"/>
    </row>
    <row r="42" spans="1:6" ht="20.100000000000001" customHeight="1" x14ac:dyDescent="0.25">
      <c r="A42" s="56" t="s">
        <v>313</v>
      </c>
      <c r="B42" s="56"/>
      <c r="C42" s="56"/>
      <c r="D42" s="56"/>
      <c r="E42" s="56"/>
      <c r="F42" s="56"/>
    </row>
    <row r="43" spans="1:6" ht="21.95" customHeight="1" x14ac:dyDescent="0.25">
      <c r="A43" s="207" t="s">
        <v>314</v>
      </c>
      <c r="B43" s="207"/>
      <c r="C43" s="207"/>
      <c r="D43" s="207"/>
      <c r="E43" s="207"/>
      <c r="F43" s="207"/>
    </row>
    <row r="44" spans="1:6" ht="24" customHeight="1" x14ac:dyDescent="0.25">
      <c r="A44" s="59" t="s">
        <v>301</v>
      </c>
      <c r="B44" s="59" t="s">
        <v>302</v>
      </c>
      <c r="C44" s="59" t="s">
        <v>303</v>
      </c>
      <c r="D44" s="74" t="s">
        <v>304</v>
      </c>
      <c r="E44" s="74"/>
      <c r="F44" s="74"/>
    </row>
    <row r="45" spans="1:6" ht="27" x14ac:dyDescent="0.25">
      <c r="A45" s="63" t="s">
        <v>315</v>
      </c>
      <c r="B45" s="63" t="s">
        <v>316</v>
      </c>
      <c r="C45" s="63" t="s">
        <v>317</v>
      </c>
      <c r="D45" s="71" t="s">
        <v>318</v>
      </c>
      <c r="E45" s="71"/>
      <c r="F45" s="71"/>
    </row>
    <row r="46" spans="1:6" ht="40.5" x14ac:dyDescent="0.25">
      <c r="A46" s="67" t="s">
        <v>319</v>
      </c>
      <c r="B46" s="67" t="s">
        <v>320</v>
      </c>
      <c r="C46" s="67" t="s">
        <v>321</v>
      </c>
      <c r="D46" s="73" t="s">
        <v>322</v>
      </c>
      <c r="E46" s="73"/>
      <c r="F46" s="73"/>
    </row>
    <row r="47" spans="1:6" ht="40.5" x14ac:dyDescent="0.25">
      <c r="A47" s="65" t="s">
        <v>323</v>
      </c>
      <c r="B47" s="65" t="s">
        <v>324</v>
      </c>
      <c r="C47" s="65" t="s">
        <v>325</v>
      </c>
      <c r="D47" s="72" t="s">
        <v>326</v>
      </c>
      <c r="E47" s="72"/>
      <c r="F47" s="72"/>
    </row>
    <row r="48" spans="1:6" x14ac:dyDescent="0.25">
      <c r="A48" s="27"/>
      <c r="B48" s="27"/>
      <c r="C48" s="27"/>
      <c r="D48" s="27"/>
      <c r="E48" s="27"/>
      <c r="F48" s="27"/>
    </row>
    <row r="49" spans="1:6" ht="20.100000000000001" customHeight="1" x14ac:dyDescent="0.25">
      <c r="A49" s="56" t="s">
        <v>327</v>
      </c>
      <c r="B49" s="56"/>
      <c r="C49" s="56"/>
      <c r="D49" s="56"/>
      <c r="E49" s="56"/>
      <c r="F49" s="56"/>
    </row>
    <row r="50" spans="1:6" ht="21.95" customHeight="1" x14ac:dyDescent="0.25">
      <c r="A50" s="207" t="s">
        <v>328</v>
      </c>
      <c r="B50" s="207"/>
      <c r="C50" s="207"/>
      <c r="D50" s="207"/>
      <c r="E50" s="207"/>
      <c r="F50" s="207"/>
    </row>
    <row r="51" spans="1:6" ht="24" customHeight="1" x14ac:dyDescent="0.25">
      <c r="A51" s="59" t="s">
        <v>301</v>
      </c>
      <c r="B51" s="59" t="s">
        <v>302</v>
      </c>
      <c r="C51" s="59" t="s">
        <v>303</v>
      </c>
      <c r="D51" s="74" t="s">
        <v>304</v>
      </c>
      <c r="E51" s="74"/>
      <c r="F51" s="74"/>
    </row>
    <row r="52" spans="1:6" ht="40.5" x14ac:dyDescent="0.25">
      <c r="A52" s="63" t="s">
        <v>329</v>
      </c>
      <c r="B52" s="63" t="s">
        <v>330</v>
      </c>
      <c r="C52" s="63" t="s">
        <v>331</v>
      </c>
      <c r="D52" s="71" t="s">
        <v>332</v>
      </c>
      <c r="E52" s="71"/>
      <c r="F52" s="71"/>
    </row>
    <row r="53" spans="1:6" ht="40.5" x14ac:dyDescent="0.25">
      <c r="A53" s="67" t="s">
        <v>333</v>
      </c>
      <c r="B53" s="67" t="s">
        <v>334</v>
      </c>
      <c r="C53" s="67" t="s">
        <v>335</v>
      </c>
      <c r="D53" s="73" t="s">
        <v>336</v>
      </c>
      <c r="E53" s="73"/>
      <c r="F53" s="73"/>
    </row>
    <row r="54" spans="1:6" ht="27" x14ac:dyDescent="0.25">
      <c r="A54" s="67" t="s">
        <v>337</v>
      </c>
      <c r="B54" s="67" t="s">
        <v>338</v>
      </c>
      <c r="C54" s="67" t="s">
        <v>339</v>
      </c>
      <c r="D54" s="73" t="s">
        <v>340</v>
      </c>
      <c r="E54" s="73"/>
      <c r="F54" s="73"/>
    </row>
    <row r="55" spans="1:6" ht="40.5" x14ac:dyDescent="0.25">
      <c r="A55" s="65" t="s">
        <v>341</v>
      </c>
      <c r="B55" s="65" t="s">
        <v>342</v>
      </c>
      <c r="C55" s="65" t="s">
        <v>343</v>
      </c>
      <c r="D55" s="72" t="s">
        <v>344</v>
      </c>
      <c r="E55" s="72"/>
      <c r="F55" s="72"/>
    </row>
    <row r="56" spans="1:6" x14ac:dyDescent="0.25">
      <c r="A56" s="27"/>
      <c r="B56" s="27"/>
      <c r="C56" s="27"/>
      <c r="D56" s="27"/>
      <c r="E56" s="27"/>
      <c r="F56" s="27"/>
    </row>
    <row r="57" spans="1:6" ht="20.100000000000001" customHeight="1" x14ac:dyDescent="0.25">
      <c r="A57" s="56" t="s">
        <v>345</v>
      </c>
      <c r="B57" s="56"/>
      <c r="C57" s="56"/>
      <c r="D57" s="56"/>
      <c r="E57" s="56"/>
      <c r="F57" s="56"/>
    </row>
    <row r="58" spans="1:6" x14ac:dyDescent="0.25">
      <c r="A58" s="27"/>
      <c r="B58" s="27"/>
      <c r="C58" s="27"/>
      <c r="D58" s="27"/>
      <c r="E58" s="27"/>
      <c r="F58" s="27"/>
    </row>
    <row r="59" spans="1:6" ht="21.95" customHeight="1" x14ac:dyDescent="0.25">
      <c r="A59" s="68" t="s">
        <v>346</v>
      </c>
      <c r="B59" s="68"/>
      <c r="C59" s="68"/>
      <c r="D59" s="68"/>
      <c r="E59" s="68"/>
      <c r="F59" s="68"/>
    </row>
    <row r="60" spans="1:6" x14ac:dyDescent="0.25">
      <c r="A60" s="46" t="s">
        <v>347</v>
      </c>
      <c r="B60" s="46"/>
      <c r="C60" s="46"/>
      <c r="D60" s="46"/>
      <c r="E60" s="46"/>
      <c r="F60" s="46"/>
    </row>
    <row r="61" spans="1:6" ht="24" customHeight="1" x14ac:dyDescent="0.25">
      <c r="A61" s="59" t="s">
        <v>348</v>
      </c>
      <c r="B61" s="59" t="s">
        <v>349</v>
      </c>
      <c r="C61" s="74" t="s">
        <v>350</v>
      </c>
      <c r="D61" s="74"/>
      <c r="E61" s="74"/>
      <c r="F61" s="74"/>
    </row>
    <row r="62" spans="1:6" ht="108" x14ac:dyDescent="0.25">
      <c r="A62" s="63" t="s">
        <v>267</v>
      </c>
      <c r="B62" s="63" t="s">
        <v>351</v>
      </c>
      <c r="C62" s="71" t="s">
        <v>352</v>
      </c>
      <c r="D62" s="71"/>
      <c r="E62" s="71"/>
      <c r="F62" s="71"/>
    </row>
    <row r="63" spans="1:6" ht="94.5" x14ac:dyDescent="0.25">
      <c r="A63" s="67" t="s">
        <v>270</v>
      </c>
      <c r="B63" s="67" t="s">
        <v>353</v>
      </c>
      <c r="C63" s="73" t="s">
        <v>354</v>
      </c>
      <c r="D63" s="73"/>
      <c r="E63" s="73"/>
      <c r="F63" s="73"/>
    </row>
    <row r="64" spans="1:6" ht="94.5" x14ac:dyDescent="0.25">
      <c r="A64" s="67" t="s">
        <v>273</v>
      </c>
      <c r="B64" s="67" t="s">
        <v>355</v>
      </c>
      <c r="C64" s="73" t="s">
        <v>356</v>
      </c>
      <c r="D64" s="73"/>
      <c r="E64" s="73"/>
      <c r="F64" s="73"/>
    </row>
    <row r="65" spans="1:6" ht="108" x14ac:dyDescent="0.25">
      <c r="A65" s="67" t="s">
        <v>276</v>
      </c>
      <c r="B65" s="67" t="s">
        <v>357</v>
      </c>
      <c r="C65" s="73" t="s">
        <v>358</v>
      </c>
      <c r="D65" s="73"/>
      <c r="E65" s="73"/>
      <c r="F65" s="73"/>
    </row>
    <row r="66" spans="1:6" ht="108" x14ac:dyDescent="0.25">
      <c r="A66" s="65" t="s">
        <v>279</v>
      </c>
      <c r="B66" s="65" t="s">
        <v>359</v>
      </c>
      <c r="C66" s="72" t="s">
        <v>360</v>
      </c>
      <c r="D66" s="72"/>
      <c r="E66" s="72"/>
      <c r="F66" s="72"/>
    </row>
    <row r="67" spans="1:6" x14ac:dyDescent="0.25">
      <c r="A67" s="27"/>
      <c r="B67" s="27"/>
      <c r="C67" s="27"/>
      <c r="D67" s="27"/>
      <c r="E67" s="27"/>
      <c r="F67" s="27"/>
    </row>
    <row r="68" spans="1:6" ht="20.100000000000001" customHeight="1" x14ac:dyDescent="0.25">
      <c r="A68" s="56" t="s">
        <v>361</v>
      </c>
      <c r="B68" s="56"/>
      <c r="C68" s="56"/>
      <c r="D68" s="56"/>
      <c r="E68" s="56"/>
      <c r="F68" s="56"/>
    </row>
    <row r="69" spans="1:6" ht="21.95" customHeight="1" x14ac:dyDescent="0.25">
      <c r="A69" s="207" t="s">
        <v>362</v>
      </c>
      <c r="B69" s="207"/>
      <c r="C69" s="207"/>
      <c r="D69" s="207"/>
      <c r="E69" s="207"/>
      <c r="F69" s="207"/>
    </row>
    <row r="70" spans="1:6" x14ac:dyDescent="0.25">
      <c r="A70" s="46" t="s">
        <v>363</v>
      </c>
      <c r="B70" s="46"/>
      <c r="C70" s="46"/>
      <c r="D70" s="46"/>
      <c r="E70" s="46"/>
      <c r="F70" s="46"/>
    </row>
    <row r="71" spans="1:6" x14ac:dyDescent="0.25">
      <c r="A71" s="46" t="s">
        <v>364</v>
      </c>
      <c r="B71" s="46"/>
      <c r="C71" s="46"/>
      <c r="D71" s="46"/>
      <c r="E71" s="46"/>
      <c r="F71" s="46"/>
    </row>
    <row r="72" spans="1:6" x14ac:dyDescent="0.25">
      <c r="A72" s="46" t="s">
        <v>365</v>
      </c>
      <c r="B72" s="46"/>
      <c r="C72" s="46"/>
      <c r="D72" s="46"/>
      <c r="E72" s="46"/>
      <c r="F72" s="46"/>
    </row>
    <row r="73" spans="1:6" x14ac:dyDescent="0.25">
      <c r="A73" s="46" t="s">
        <v>366</v>
      </c>
      <c r="B73" s="46"/>
      <c r="C73" s="46"/>
      <c r="D73" s="46"/>
      <c r="E73" s="46"/>
      <c r="F73" s="46"/>
    </row>
    <row r="74" spans="1:6" x14ac:dyDescent="0.25">
      <c r="A74" s="46" t="s">
        <v>367</v>
      </c>
      <c r="B74" s="46"/>
      <c r="C74" s="46"/>
      <c r="D74" s="46"/>
      <c r="E74" s="46"/>
      <c r="F74" s="46"/>
    </row>
    <row r="75" spans="1:6" x14ac:dyDescent="0.25">
      <c r="A75" s="27"/>
      <c r="B75" s="27"/>
      <c r="C75" s="27"/>
      <c r="D75" s="27"/>
      <c r="E75" s="27"/>
      <c r="F75" s="27"/>
    </row>
    <row r="76" spans="1:6" x14ac:dyDescent="0.25">
      <c r="A76" s="27"/>
      <c r="B76" s="27"/>
      <c r="C76" s="27"/>
      <c r="D76" s="27"/>
      <c r="E76" s="27"/>
      <c r="F76" s="27"/>
    </row>
    <row r="77" spans="1:6" ht="21.95" customHeight="1" x14ac:dyDescent="0.25">
      <c r="A77" s="68" t="s">
        <v>368</v>
      </c>
      <c r="B77" s="68"/>
      <c r="C77" s="68"/>
      <c r="D77" s="68"/>
      <c r="E77" s="68"/>
      <c r="F77" s="68"/>
    </row>
    <row r="78" spans="1:6" ht="24" customHeight="1" x14ac:dyDescent="0.25">
      <c r="A78" s="59" t="s">
        <v>301</v>
      </c>
      <c r="B78" s="74" t="s">
        <v>369</v>
      </c>
      <c r="C78" s="74"/>
      <c r="D78" s="74"/>
      <c r="E78" s="74"/>
      <c r="F78" s="74"/>
    </row>
    <row r="79" spans="1:6" ht="27" x14ac:dyDescent="0.25">
      <c r="A79" s="63" t="s">
        <v>305</v>
      </c>
      <c r="B79" s="71" t="s">
        <v>370</v>
      </c>
      <c r="C79" s="71"/>
      <c r="D79" s="71"/>
      <c r="E79" s="71"/>
      <c r="F79" s="71"/>
    </row>
    <row r="80" spans="1:6" x14ac:dyDescent="0.25">
      <c r="A80" s="67" t="s">
        <v>309</v>
      </c>
      <c r="B80" s="73" t="s">
        <v>371</v>
      </c>
      <c r="C80" s="73"/>
      <c r="D80" s="73"/>
      <c r="E80" s="73"/>
      <c r="F80" s="73"/>
    </row>
    <row r="81" spans="1:6" ht="27" x14ac:dyDescent="0.25">
      <c r="A81" s="67" t="s">
        <v>315</v>
      </c>
      <c r="B81" s="73" t="s">
        <v>372</v>
      </c>
      <c r="C81" s="73"/>
      <c r="D81" s="73"/>
      <c r="E81" s="73"/>
      <c r="F81" s="73"/>
    </row>
    <row r="82" spans="1:6" ht="27" x14ac:dyDescent="0.25">
      <c r="A82" s="67" t="s">
        <v>319</v>
      </c>
      <c r="B82" s="73" t="s">
        <v>373</v>
      </c>
      <c r="C82" s="73"/>
      <c r="D82" s="73"/>
      <c r="E82" s="73"/>
      <c r="F82" s="73"/>
    </row>
    <row r="83" spans="1:6" x14ac:dyDescent="0.25">
      <c r="A83" s="67" t="s">
        <v>323</v>
      </c>
      <c r="B83" s="73" t="s">
        <v>374</v>
      </c>
      <c r="C83" s="73"/>
      <c r="D83" s="73"/>
      <c r="E83" s="73"/>
      <c r="F83" s="73"/>
    </row>
    <row r="84" spans="1:6" x14ac:dyDescent="0.25">
      <c r="A84" s="67" t="s">
        <v>329</v>
      </c>
      <c r="B84" s="73" t="s">
        <v>375</v>
      </c>
      <c r="C84" s="73"/>
      <c r="D84" s="73"/>
      <c r="E84" s="73"/>
      <c r="F84" s="73"/>
    </row>
    <row r="85" spans="1:6" x14ac:dyDescent="0.25">
      <c r="A85" s="67" t="s">
        <v>333</v>
      </c>
      <c r="B85" s="73" t="s">
        <v>376</v>
      </c>
      <c r="C85" s="73"/>
      <c r="D85" s="73"/>
      <c r="E85" s="73"/>
      <c r="F85" s="73"/>
    </row>
    <row r="86" spans="1:6" x14ac:dyDescent="0.25">
      <c r="A86" s="67" t="s">
        <v>337</v>
      </c>
      <c r="B86" s="73" t="s">
        <v>377</v>
      </c>
      <c r="C86" s="73"/>
      <c r="D86" s="73"/>
      <c r="E86" s="73"/>
      <c r="F86" s="73"/>
    </row>
    <row r="87" spans="1:6" ht="27" x14ac:dyDescent="0.25">
      <c r="A87" s="65" t="s">
        <v>378</v>
      </c>
      <c r="B87" s="72" t="s">
        <v>379</v>
      </c>
      <c r="C87" s="72"/>
      <c r="D87" s="72"/>
      <c r="E87" s="72"/>
      <c r="F87" s="72"/>
    </row>
    <row r="88" spans="1:6" x14ac:dyDescent="0.25">
      <c r="A88" s="27"/>
      <c r="B88" s="27"/>
      <c r="C88" s="27"/>
      <c r="D88" s="27"/>
      <c r="E88" s="27"/>
      <c r="F88" s="27"/>
    </row>
    <row r="89" spans="1:6" ht="20.100000000000001" customHeight="1" x14ac:dyDescent="0.25">
      <c r="A89" s="56" t="s">
        <v>380</v>
      </c>
      <c r="B89" s="56"/>
      <c r="C89" s="56"/>
      <c r="D89" s="56"/>
      <c r="E89" s="56"/>
      <c r="F89" s="56"/>
    </row>
  </sheetData>
  <mergeCells count="74">
    <mergeCell ref="B83:F83"/>
    <mergeCell ref="B84:F84"/>
    <mergeCell ref="B85:F85"/>
    <mergeCell ref="B86:F86"/>
    <mergeCell ref="B87:F87"/>
    <mergeCell ref="B78:F78"/>
    <mergeCell ref="B79:F79"/>
    <mergeCell ref="B80:F80"/>
    <mergeCell ref="B81:F81"/>
    <mergeCell ref="B82:F82"/>
    <mergeCell ref="C62:F62"/>
    <mergeCell ref="C63:F63"/>
    <mergeCell ref="C64:F64"/>
    <mergeCell ref="C65:F65"/>
    <mergeCell ref="C66:F66"/>
    <mergeCell ref="D52:F52"/>
    <mergeCell ref="D53:F53"/>
    <mergeCell ref="D54:F54"/>
    <mergeCell ref="D55:F55"/>
    <mergeCell ref="C61:F61"/>
    <mergeCell ref="D44:F44"/>
    <mergeCell ref="D45:F45"/>
    <mergeCell ref="D46:F46"/>
    <mergeCell ref="D47:F47"/>
    <mergeCell ref="D51:F51"/>
    <mergeCell ref="A1:F1"/>
    <mergeCell ref="A2:F2"/>
    <mergeCell ref="C9:F9"/>
    <mergeCell ref="C10:F10"/>
    <mergeCell ref="C11:F11"/>
    <mergeCell ref="A18:F18"/>
    <mergeCell ref="A43:F43"/>
    <mergeCell ref="A8:F8"/>
    <mergeCell ref="A30:F30"/>
    <mergeCell ref="A29:F29"/>
    <mergeCell ref="A23:F23"/>
    <mergeCell ref="A35:F35"/>
    <mergeCell ref="A24:F24"/>
    <mergeCell ref="C12:F12"/>
    <mergeCell ref="C13:F13"/>
    <mergeCell ref="C14:F14"/>
    <mergeCell ref="D38:F38"/>
    <mergeCell ref="D39:F39"/>
    <mergeCell ref="D40:F40"/>
    <mergeCell ref="A25:F25"/>
    <mergeCell ref="A20:F20"/>
    <mergeCell ref="A32:F32"/>
    <mergeCell ref="A70:F70"/>
    <mergeCell ref="A4:F4"/>
    <mergeCell ref="A22:F22"/>
    <mergeCell ref="A31:F31"/>
    <mergeCell ref="A7:F7"/>
    <mergeCell ref="A21:F21"/>
    <mergeCell ref="A16:F16"/>
    <mergeCell ref="A19:F19"/>
    <mergeCell ref="A28:F28"/>
    <mergeCell ref="A42:F42"/>
    <mergeCell ref="A37:F37"/>
    <mergeCell ref="A89:F89"/>
    <mergeCell ref="A74:F74"/>
    <mergeCell ref="A36:F36"/>
    <mergeCell ref="A26:F26"/>
    <mergeCell ref="A73:F73"/>
    <mergeCell ref="A49:F49"/>
    <mergeCell ref="A71:F71"/>
    <mergeCell ref="A27:F27"/>
    <mergeCell ref="A57:F57"/>
    <mergeCell ref="A72:F72"/>
    <mergeCell ref="A50:F50"/>
    <mergeCell ref="A59:F59"/>
    <mergeCell ref="A69:F69"/>
    <mergeCell ref="A60:F60"/>
    <mergeCell ref="A77:F77"/>
    <mergeCell ref="A68:F68"/>
  </mergeCells>
  <pageMargins left="0.25" right="0.25" top="0.5" bottom="0.5"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I8"/>
  <sheetViews>
    <sheetView showGridLines="0" zoomScale="90" workbookViewId="0">
      <pane ySplit="1" topLeftCell="A2" activePane="bottomLeft" state="frozen"/>
      <selection pane="bottomLeft" activeCell="B34" sqref="B34"/>
    </sheetView>
  </sheetViews>
  <sheetFormatPr defaultRowHeight="15" x14ac:dyDescent="0.25"/>
  <cols>
    <col min="1" max="1" width="17.140625" customWidth="1"/>
    <col min="2" max="2" width="8.5703125" customWidth="1"/>
    <col min="3" max="3" width="18.140625" customWidth="1"/>
    <col min="4" max="4" width="22.85546875" customWidth="1"/>
    <col min="5" max="5" width="21.85546875" customWidth="1"/>
    <col min="6" max="6" width="19" customWidth="1"/>
    <col min="7" max="7" width="17.140625" customWidth="1"/>
    <col min="8" max="9" width="15.28515625" customWidth="1"/>
  </cols>
  <sheetData>
    <row r="1" spans="1:9" ht="30" customHeight="1" x14ac:dyDescent="0.25">
      <c r="A1" s="3" t="s">
        <v>381</v>
      </c>
      <c r="B1" s="3" t="s">
        <v>382</v>
      </c>
      <c r="C1" s="3" t="s">
        <v>383</v>
      </c>
      <c r="D1" s="3" t="s">
        <v>384</v>
      </c>
      <c r="E1" s="3" t="s">
        <v>211</v>
      </c>
      <c r="F1" s="3" t="s">
        <v>212</v>
      </c>
      <c r="G1" s="3" t="s">
        <v>213</v>
      </c>
      <c r="H1" s="3" t="s">
        <v>214</v>
      </c>
      <c r="I1" s="3" t="s">
        <v>385</v>
      </c>
    </row>
    <row r="2" spans="1:9" ht="40.5" x14ac:dyDescent="0.25">
      <c r="A2" s="75" t="s">
        <v>208</v>
      </c>
      <c r="B2" s="76">
        <v>1</v>
      </c>
      <c r="C2" s="75" t="s">
        <v>386</v>
      </c>
      <c r="D2" s="75" t="s">
        <v>387</v>
      </c>
      <c r="E2" s="75" t="s">
        <v>216</v>
      </c>
      <c r="F2" s="75" t="s">
        <v>217</v>
      </c>
      <c r="G2" s="75" t="s">
        <v>218</v>
      </c>
      <c r="H2" s="75" t="s">
        <v>219</v>
      </c>
      <c r="I2" s="75" t="s">
        <v>3</v>
      </c>
    </row>
    <row r="3" spans="1:9" ht="40.5" x14ac:dyDescent="0.25">
      <c r="A3" s="75" t="s">
        <v>208</v>
      </c>
      <c r="B3" s="76">
        <v>2</v>
      </c>
      <c r="C3" s="75" t="s">
        <v>388</v>
      </c>
      <c r="D3" s="75" t="s">
        <v>389</v>
      </c>
      <c r="E3" s="75" t="s">
        <v>221</v>
      </c>
      <c r="F3" s="75" t="s">
        <v>222</v>
      </c>
      <c r="G3" s="75" t="s">
        <v>223</v>
      </c>
      <c r="H3" s="75" t="s">
        <v>224</v>
      </c>
      <c r="I3" s="75" t="s">
        <v>3</v>
      </c>
    </row>
    <row r="4" spans="1:9" ht="54" x14ac:dyDescent="0.25">
      <c r="A4" s="75" t="s">
        <v>225</v>
      </c>
      <c r="B4" s="76">
        <v>3</v>
      </c>
      <c r="C4" s="75" t="s">
        <v>390</v>
      </c>
      <c r="D4" s="75" t="s">
        <v>391</v>
      </c>
      <c r="E4" s="75" t="s">
        <v>228</v>
      </c>
      <c r="F4" s="75" t="s">
        <v>229</v>
      </c>
      <c r="G4" s="75" t="s">
        <v>230</v>
      </c>
      <c r="H4" s="75" t="s">
        <v>231</v>
      </c>
      <c r="I4" s="75" t="s">
        <v>3</v>
      </c>
    </row>
    <row r="5" spans="1:9" ht="27" x14ac:dyDescent="0.25">
      <c r="A5" s="75" t="s">
        <v>225</v>
      </c>
      <c r="B5" s="76">
        <v>4</v>
      </c>
      <c r="C5" s="75" t="s">
        <v>392</v>
      </c>
      <c r="D5" s="75" t="s">
        <v>393</v>
      </c>
      <c r="E5" s="75" t="s">
        <v>233</v>
      </c>
      <c r="F5" s="75" t="s">
        <v>234</v>
      </c>
      <c r="G5" s="75" t="s">
        <v>235</v>
      </c>
      <c r="H5" s="75" t="s">
        <v>236</v>
      </c>
      <c r="I5" s="75" t="s">
        <v>3</v>
      </c>
    </row>
    <row r="6" spans="1:9" ht="27" x14ac:dyDescent="0.25">
      <c r="A6" s="75" t="s">
        <v>225</v>
      </c>
      <c r="B6" s="76">
        <v>5</v>
      </c>
      <c r="C6" s="75" t="s">
        <v>394</v>
      </c>
      <c r="D6" s="75" t="s">
        <v>395</v>
      </c>
      <c r="E6" s="75" t="s">
        <v>238</v>
      </c>
      <c r="F6" s="75" t="s">
        <v>239</v>
      </c>
      <c r="G6" s="75" t="s">
        <v>240</v>
      </c>
      <c r="H6" s="75" t="s">
        <v>241</v>
      </c>
      <c r="I6" s="75" t="s">
        <v>3</v>
      </c>
    </row>
    <row r="7" spans="1:9" ht="27" x14ac:dyDescent="0.25">
      <c r="A7" s="75" t="s">
        <v>242</v>
      </c>
      <c r="B7" s="76">
        <v>6</v>
      </c>
      <c r="C7" s="75" t="s">
        <v>396</v>
      </c>
      <c r="D7" s="75" t="s">
        <v>397</v>
      </c>
      <c r="E7" s="75" t="s">
        <v>245</v>
      </c>
      <c r="F7" s="75" t="s">
        <v>246</v>
      </c>
      <c r="G7" s="75" t="s">
        <v>247</v>
      </c>
      <c r="H7" s="75" t="s">
        <v>248</v>
      </c>
      <c r="I7" s="75" t="s">
        <v>3</v>
      </c>
    </row>
    <row r="8" spans="1:9" ht="40.5" x14ac:dyDescent="0.25">
      <c r="A8" s="63" t="s">
        <v>242</v>
      </c>
      <c r="B8" s="77">
        <v>7</v>
      </c>
      <c r="C8" s="63" t="s">
        <v>398</v>
      </c>
      <c r="D8" s="63" t="s">
        <v>399</v>
      </c>
      <c r="E8" s="63" t="s">
        <v>250</v>
      </c>
      <c r="F8" s="63" t="s">
        <v>251</v>
      </c>
      <c r="G8" s="63" t="s">
        <v>252</v>
      </c>
      <c r="H8" s="63" t="s">
        <v>253</v>
      </c>
      <c r="I8" s="63" t="s">
        <v>3</v>
      </c>
    </row>
  </sheetData>
  <conditionalFormatting sqref="H2:H8">
    <cfRule type="containsText" dxfId="8" priority="1" operator="containsText" text="No public logo yet">
      <formula>NOT(ISERROR(SEARCH("No public logo yet",H2)))</formula>
    </cfRule>
  </conditionalFormatting>
  <pageMargins left="0.25" right="0.25" top="0.5" bottom="0.5" header="0.5" footer="0.5"/>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G10"/>
  <sheetViews>
    <sheetView showGridLines="0" zoomScale="90" workbookViewId="0">
      <pane ySplit="1" topLeftCell="A2" activePane="bottomLeft" state="frozen"/>
      <selection pane="bottomLeft"/>
    </sheetView>
  </sheetViews>
  <sheetFormatPr defaultRowHeight="15" x14ac:dyDescent="0.25"/>
  <cols>
    <col min="1" max="1" width="18.140625" customWidth="1"/>
    <col min="2" max="2" width="20" customWidth="1"/>
    <col min="3" max="3" width="21" customWidth="1"/>
    <col min="4" max="4" width="21.85546875" customWidth="1"/>
    <col min="5" max="5" width="29.5703125" customWidth="1"/>
    <col min="6" max="6" width="24.7109375" customWidth="1"/>
    <col min="7" max="7" width="18.140625" customWidth="1"/>
  </cols>
  <sheetData>
    <row r="1" spans="1:7" ht="30" customHeight="1" x14ac:dyDescent="0.25">
      <c r="A1" s="3" t="s">
        <v>400</v>
      </c>
      <c r="B1" s="3" t="s">
        <v>301</v>
      </c>
      <c r="C1" s="3" t="s">
        <v>302</v>
      </c>
      <c r="D1" s="3" t="s">
        <v>303</v>
      </c>
      <c r="E1" s="3" t="s">
        <v>304</v>
      </c>
      <c r="F1" s="3" t="s">
        <v>401</v>
      </c>
      <c r="G1" s="3" t="s">
        <v>385</v>
      </c>
    </row>
    <row r="2" spans="1:7" ht="40.5" x14ac:dyDescent="0.25">
      <c r="A2" s="75" t="s">
        <v>402</v>
      </c>
      <c r="B2" s="75" t="s">
        <v>305</v>
      </c>
      <c r="C2" s="75" t="s">
        <v>306</v>
      </c>
      <c r="D2" s="75" t="s">
        <v>307</v>
      </c>
      <c r="E2" s="75" t="s">
        <v>308</v>
      </c>
      <c r="F2" s="79" t="s">
        <v>370</v>
      </c>
      <c r="G2" s="75" t="s">
        <v>4</v>
      </c>
    </row>
    <row r="3" spans="1:7" ht="40.5" x14ac:dyDescent="0.25">
      <c r="A3" s="75" t="s">
        <v>402</v>
      </c>
      <c r="B3" s="75" t="s">
        <v>309</v>
      </c>
      <c r="C3" s="75" t="s">
        <v>310</v>
      </c>
      <c r="D3" s="75" t="s">
        <v>311</v>
      </c>
      <c r="E3" s="75" t="s">
        <v>312</v>
      </c>
      <c r="F3" s="79" t="s">
        <v>371</v>
      </c>
      <c r="G3" s="75" t="s">
        <v>4</v>
      </c>
    </row>
    <row r="4" spans="1:7" ht="40.5" x14ac:dyDescent="0.25">
      <c r="A4" s="75" t="s">
        <v>403</v>
      </c>
      <c r="B4" s="75" t="s">
        <v>315</v>
      </c>
      <c r="C4" s="75" t="s">
        <v>316</v>
      </c>
      <c r="D4" s="75" t="s">
        <v>317</v>
      </c>
      <c r="E4" s="75" t="s">
        <v>318</v>
      </c>
      <c r="F4" s="79" t="s">
        <v>372</v>
      </c>
      <c r="G4" s="75" t="s">
        <v>4</v>
      </c>
    </row>
    <row r="5" spans="1:7" ht="40.5" x14ac:dyDescent="0.25">
      <c r="A5" s="75" t="s">
        <v>403</v>
      </c>
      <c r="B5" s="75" t="s">
        <v>319</v>
      </c>
      <c r="C5" s="75" t="s">
        <v>320</v>
      </c>
      <c r="D5" s="75" t="s">
        <v>321</v>
      </c>
      <c r="E5" s="75" t="s">
        <v>322</v>
      </c>
      <c r="F5" s="79" t="s">
        <v>373</v>
      </c>
      <c r="G5" s="75" t="s">
        <v>4</v>
      </c>
    </row>
    <row r="6" spans="1:7" ht="40.5" x14ac:dyDescent="0.25">
      <c r="A6" s="75" t="s">
        <v>403</v>
      </c>
      <c r="B6" s="75" t="s">
        <v>323</v>
      </c>
      <c r="C6" s="75" t="s">
        <v>324</v>
      </c>
      <c r="D6" s="75" t="s">
        <v>325</v>
      </c>
      <c r="E6" s="75" t="s">
        <v>326</v>
      </c>
      <c r="F6" s="79" t="s">
        <v>374</v>
      </c>
      <c r="G6" s="75" t="s">
        <v>4</v>
      </c>
    </row>
    <row r="7" spans="1:7" ht="40.5" x14ac:dyDescent="0.25">
      <c r="A7" s="75" t="s">
        <v>404</v>
      </c>
      <c r="B7" s="75" t="s">
        <v>329</v>
      </c>
      <c r="C7" s="75" t="s">
        <v>330</v>
      </c>
      <c r="D7" s="75" t="s">
        <v>331</v>
      </c>
      <c r="E7" s="75" t="s">
        <v>332</v>
      </c>
      <c r="F7" s="79" t="s">
        <v>375</v>
      </c>
      <c r="G7" s="75" t="s">
        <v>4</v>
      </c>
    </row>
    <row r="8" spans="1:7" ht="40.5" x14ac:dyDescent="0.25">
      <c r="A8" s="75" t="s">
        <v>404</v>
      </c>
      <c r="B8" s="75" t="s">
        <v>333</v>
      </c>
      <c r="C8" s="75" t="s">
        <v>334</v>
      </c>
      <c r="D8" s="75" t="s">
        <v>335</v>
      </c>
      <c r="E8" s="75" t="s">
        <v>336</v>
      </c>
      <c r="F8" s="79" t="s">
        <v>376</v>
      </c>
      <c r="G8" s="75" t="s">
        <v>4</v>
      </c>
    </row>
    <row r="9" spans="1:7" ht="40.5" x14ac:dyDescent="0.25">
      <c r="A9" s="75" t="s">
        <v>404</v>
      </c>
      <c r="B9" s="75" t="s">
        <v>337</v>
      </c>
      <c r="C9" s="75" t="s">
        <v>338</v>
      </c>
      <c r="D9" s="75" t="s">
        <v>339</v>
      </c>
      <c r="E9" s="75" t="s">
        <v>340</v>
      </c>
      <c r="F9" s="79" t="s">
        <v>377</v>
      </c>
      <c r="G9" s="75" t="s">
        <v>4</v>
      </c>
    </row>
    <row r="10" spans="1:7" ht="40.5" x14ac:dyDescent="0.25">
      <c r="A10" s="63" t="s">
        <v>404</v>
      </c>
      <c r="B10" s="63" t="s">
        <v>341</v>
      </c>
      <c r="C10" s="63" t="s">
        <v>342</v>
      </c>
      <c r="D10" s="63" t="s">
        <v>343</v>
      </c>
      <c r="E10" s="63" t="s">
        <v>344</v>
      </c>
      <c r="F10" s="63"/>
      <c r="G10" s="63" t="s">
        <v>4</v>
      </c>
    </row>
  </sheetData>
  <conditionalFormatting sqref="A2:G10">
    <cfRule type="expression" dxfId="7" priority="1">
      <formula>$A2="Hyperscaler platforms"</formula>
    </cfRule>
  </conditionalFormatting>
  <hyperlinks>
    <hyperlink ref="F2" r:id="rId1" xr:uid="{00000000-0004-0000-0500-000000000000}"/>
    <hyperlink ref="F3" r:id="rId2" xr:uid="{00000000-0004-0000-0500-000001000000}"/>
    <hyperlink ref="F4" r:id="rId3" xr:uid="{00000000-0004-0000-0500-000002000000}"/>
    <hyperlink ref="F5" r:id="rId4" xr:uid="{00000000-0004-0000-0500-000003000000}"/>
    <hyperlink ref="F6" r:id="rId5" xr:uid="{00000000-0004-0000-0500-000004000000}"/>
    <hyperlink ref="F7" r:id="rId6" xr:uid="{00000000-0004-0000-0500-000005000000}"/>
    <hyperlink ref="F8" r:id="rId7" xr:uid="{00000000-0004-0000-0500-000006000000}"/>
    <hyperlink ref="F9" r:id="rId8" xr:uid="{00000000-0004-0000-0500-000007000000}"/>
  </hyperlinks>
  <pageMargins left="0.25" right="0.25" top="0.5" bottom="0.5" header="0.5" footer="0.5"/>
  <pageSetup orientation="landscape"/>
  <tableParts count="1">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G69"/>
  <sheetViews>
    <sheetView showGridLines="0" zoomScale="90" workbookViewId="0">
      <pane ySplit="1" topLeftCell="A2" activePane="bottomLeft" state="frozen"/>
      <selection pane="bottomLeft" activeCell="J18" sqref="J18"/>
    </sheetView>
  </sheetViews>
  <sheetFormatPr defaultRowHeight="15" x14ac:dyDescent="0.25"/>
  <cols>
    <col min="1" max="1" width="8" customWidth="1"/>
    <col min="2" max="2" width="21.28515625" customWidth="1"/>
    <col min="3" max="4" width="27.5703125" customWidth="1"/>
    <col min="5" max="5" width="23.85546875" customWidth="1"/>
    <col min="6" max="6" width="21" customWidth="1"/>
    <col min="7" max="7" width="20" customWidth="1"/>
    <col min="8" max="8" width="17.140625" customWidth="1"/>
  </cols>
  <sheetData>
    <row r="1" spans="1:7" ht="33.950000000000003" customHeight="1" x14ac:dyDescent="0.25">
      <c r="A1" s="101" t="s">
        <v>489</v>
      </c>
      <c r="B1" s="80"/>
      <c r="C1" s="80"/>
      <c r="D1" s="80"/>
      <c r="E1" s="80"/>
      <c r="F1" s="80"/>
      <c r="G1" s="116"/>
    </row>
    <row r="2" spans="1:7" ht="27.95" customHeight="1" x14ac:dyDescent="0.25">
      <c r="A2" s="102" t="s">
        <v>490</v>
      </c>
      <c r="B2" s="132"/>
      <c r="C2" s="7"/>
      <c r="D2" s="7"/>
      <c r="E2" s="7"/>
      <c r="F2" s="7"/>
      <c r="G2" s="117"/>
    </row>
    <row r="3" spans="1:7" ht="9" customHeight="1" x14ac:dyDescent="0.25">
      <c r="A3" s="103"/>
      <c r="B3" s="133"/>
      <c r="C3" s="23"/>
      <c r="D3" s="23"/>
      <c r="E3" s="23"/>
      <c r="F3" s="23"/>
      <c r="G3" s="118"/>
    </row>
    <row r="4" spans="1:7" ht="21.95" customHeight="1" x14ac:dyDescent="0.25">
      <c r="A4" s="104" t="s">
        <v>491</v>
      </c>
      <c r="B4" s="81"/>
      <c r="C4" s="81"/>
      <c r="D4" s="81"/>
      <c r="E4" s="81"/>
      <c r="F4" s="81"/>
      <c r="G4" s="119"/>
    </row>
    <row r="5" spans="1:7" ht="42" customHeight="1" x14ac:dyDescent="0.25">
      <c r="A5" s="105" t="s">
        <v>492</v>
      </c>
      <c r="B5" s="134"/>
      <c r="C5" s="82"/>
      <c r="D5" s="82"/>
      <c r="E5" s="82"/>
      <c r="F5" s="82"/>
      <c r="G5" s="120"/>
    </row>
    <row r="6" spans="1:7" ht="9" customHeight="1" x14ac:dyDescent="0.25">
      <c r="A6" s="103"/>
      <c r="B6" s="133"/>
      <c r="C6" s="23"/>
      <c r="D6" s="23"/>
      <c r="E6" s="23"/>
      <c r="F6" s="23"/>
      <c r="G6" s="118"/>
    </row>
    <row r="7" spans="1:7" ht="24" customHeight="1" x14ac:dyDescent="0.25">
      <c r="A7" s="106" t="s">
        <v>16</v>
      </c>
      <c r="B7" s="83"/>
      <c r="C7" s="83"/>
      <c r="D7" s="83"/>
      <c r="E7" s="83"/>
      <c r="F7" s="83"/>
      <c r="G7" s="121"/>
    </row>
    <row r="8" spans="1:7" ht="26.1" customHeight="1" x14ac:dyDescent="0.25">
      <c r="A8" s="107" t="s">
        <v>493</v>
      </c>
      <c r="B8" s="135"/>
      <c r="C8" s="84"/>
      <c r="D8" s="84"/>
      <c r="E8" s="84"/>
      <c r="F8" s="84"/>
      <c r="G8" s="122"/>
    </row>
    <row r="9" spans="1:7" ht="30" customHeight="1" x14ac:dyDescent="0.25">
      <c r="A9" s="59" t="s">
        <v>465</v>
      </c>
      <c r="B9" s="59" t="s">
        <v>18</v>
      </c>
      <c r="C9" s="59" t="s">
        <v>19</v>
      </c>
      <c r="D9" s="59"/>
      <c r="E9" s="59" t="s">
        <v>20</v>
      </c>
      <c r="F9" s="59"/>
      <c r="G9" s="187" t="s">
        <v>467</v>
      </c>
    </row>
    <row r="10" spans="1:7" ht="40.5" x14ac:dyDescent="0.25">
      <c r="A10" s="166">
        <v>1</v>
      </c>
      <c r="B10" s="176" t="s">
        <v>405</v>
      </c>
      <c r="C10" s="149" t="s">
        <v>406</v>
      </c>
      <c r="D10" s="149"/>
      <c r="E10" s="150"/>
      <c r="F10" s="150"/>
      <c r="G10" s="188" t="s">
        <v>2</v>
      </c>
    </row>
    <row r="11" spans="1:7" ht="24" x14ac:dyDescent="0.25">
      <c r="A11" s="109">
        <v>2</v>
      </c>
      <c r="B11" s="137" t="s">
        <v>21</v>
      </c>
      <c r="C11" s="94" t="s">
        <v>22</v>
      </c>
      <c r="D11" s="94"/>
      <c r="E11" s="94" t="s">
        <v>23</v>
      </c>
      <c r="F11" s="94"/>
      <c r="G11" s="125" t="s">
        <v>2</v>
      </c>
    </row>
    <row r="12" spans="1:7" ht="24" x14ac:dyDescent="0.25">
      <c r="A12" s="108">
        <v>3</v>
      </c>
      <c r="B12" s="136" t="s">
        <v>24</v>
      </c>
      <c r="C12" s="92" t="s">
        <v>25</v>
      </c>
      <c r="D12" s="92"/>
      <c r="E12" s="92" t="s">
        <v>26</v>
      </c>
      <c r="F12" s="92"/>
      <c r="G12" s="124" t="s">
        <v>2</v>
      </c>
    </row>
    <row r="13" spans="1:7" ht="24" x14ac:dyDescent="0.25">
      <c r="A13" s="109">
        <v>4</v>
      </c>
      <c r="B13" s="137" t="s">
        <v>27</v>
      </c>
      <c r="C13" s="94" t="s">
        <v>28</v>
      </c>
      <c r="D13" s="94"/>
      <c r="E13" s="94" t="s">
        <v>29</v>
      </c>
      <c r="F13" s="94"/>
      <c r="G13" s="125" t="s">
        <v>2</v>
      </c>
    </row>
    <row r="14" spans="1:7" ht="24" x14ac:dyDescent="0.25">
      <c r="A14" s="108">
        <v>5</v>
      </c>
      <c r="B14" s="136" t="s">
        <v>30</v>
      </c>
      <c r="C14" s="92" t="s">
        <v>31</v>
      </c>
      <c r="D14" s="92"/>
      <c r="E14" s="92" t="s">
        <v>32</v>
      </c>
      <c r="F14" s="92"/>
      <c r="G14" s="124" t="s">
        <v>2</v>
      </c>
    </row>
    <row r="15" spans="1:7" ht="24" x14ac:dyDescent="0.25">
      <c r="A15" s="111">
        <v>6</v>
      </c>
      <c r="B15" s="139" t="s">
        <v>33</v>
      </c>
      <c r="C15" s="93" t="s">
        <v>34</v>
      </c>
      <c r="D15" s="93"/>
      <c r="E15" s="93" t="s">
        <v>35</v>
      </c>
      <c r="F15" s="93"/>
      <c r="G15" s="127" t="s">
        <v>2</v>
      </c>
    </row>
    <row r="16" spans="1:7" ht="9" customHeight="1" x14ac:dyDescent="0.25">
      <c r="A16" s="103"/>
      <c r="B16" s="133"/>
      <c r="C16" s="23"/>
      <c r="D16" s="23"/>
      <c r="E16" s="23"/>
      <c r="F16" s="23"/>
      <c r="G16" s="118"/>
    </row>
    <row r="17" spans="1:7" ht="24" customHeight="1" x14ac:dyDescent="0.25">
      <c r="A17" s="106" t="s">
        <v>407</v>
      </c>
      <c r="B17" s="83"/>
      <c r="C17" s="83"/>
      <c r="D17" s="83"/>
      <c r="E17" s="83"/>
      <c r="F17" s="83"/>
      <c r="G17" s="121"/>
    </row>
    <row r="18" spans="1:7" ht="26.1" customHeight="1" x14ac:dyDescent="0.25">
      <c r="A18" s="107" t="s">
        <v>494</v>
      </c>
      <c r="B18" s="135"/>
      <c r="C18" s="84"/>
      <c r="D18" s="84"/>
      <c r="E18" s="84"/>
      <c r="F18" s="84"/>
      <c r="G18" s="122"/>
    </row>
    <row r="19" spans="1:7" ht="30" customHeight="1" x14ac:dyDescent="0.25">
      <c r="A19" s="59" t="s">
        <v>465</v>
      </c>
      <c r="B19" s="59" t="s">
        <v>37</v>
      </c>
      <c r="C19" s="59" t="s">
        <v>38</v>
      </c>
      <c r="D19" s="59"/>
      <c r="E19" s="59" t="s">
        <v>39</v>
      </c>
      <c r="F19" s="59"/>
      <c r="G19" s="187" t="s">
        <v>467</v>
      </c>
    </row>
    <row r="20" spans="1:7" ht="24" x14ac:dyDescent="0.25">
      <c r="A20" s="167">
        <v>1</v>
      </c>
      <c r="B20" s="177" t="s">
        <v>40</v>
      </c>
      <c r="C20" s="152" t="s">
        <v>41</v>
      </c>
      <c r="D20" s="152"/>
      <c r="E20" s="152" t="s">
        <v>42</v>
      </c>
      <c r="F20" s="152"/>
      <c r="G20" s="189" t="s">
        <v>2</v>
      </c>
    </row>
    <row r="21" spans="1:7" ht="24" x14ac:dyDescent="0.25">
      <c r="A21" s="109">
        <v>2</v>
      </c>
      <c r="B21" s="137" t="s">
        <v>43</v>
      </c>
      <c r="C21" s="94" t="s">
        <v>44</v>
      </c>
      <c r="D21" s="94"/>
      <c r="E21" s="94" t="s">
        <v>45</v>
      </c>
      <c r="F21" s="94"/>
      <c r="G21" s="125" t="s">
        <v>2</v>
      </c>
    </row>
    <row r="22" spans="1:7" ht="24" x14ac:dyDescent="0.25">
      <c r="A22" s="108">
        <v>3</v>
      </c>
      <c r="B22" s="136" t="s">
        <v>46</v>
      </c>
      <c r="C22" s="92" t="s">
        <v>47</v>
      </c>
      <c r="D22" s="92"/>
      <c r="E22" s="92" t="s">
        <v>48</v>
      </c>
      <c r="F22" s="92"/>
      <c r="G22" s="124" t="s">
        <v>2</v>
      </c>
    </row>
    <row r="23" spans="1:7" ht="24" x14ac:dyDescent="0.25">
      <c r="A23" s="111">
        <v>4</v>
      </c>
      <c r="B23" s="139" t="s">
        <v>49</v>
      </c>
      <c r="C23" s="93" t="s">
        <v>50</v>
      </c>
      <c r="D23" s="93"/>
      <c r="E23" s="93" t="s">
        <v>51</v>
      </c>
      <c r="F23" s="93"/>
      <c r="G23" s="127" t="s">
        <v>2</v>
      </c>
    </row>
    <row r="24" spans="1:7" ht="9" customHeight="1" x14ac:dyDescent="0.25">
      <c r="A24" s="103"/>
      <c r="B24" s="133"/>
      <c r="C24" s="23"/>
      <c r="D24" s="23"/>
      <c r="E24" s="23"/>
      <c r="F24" s="23"/>
      <c r="G24" s="118"/>
    </row>
    <row r="25" spans="1:7" ht="24" customHeight="1" x14ac:dyDescent="0.25">
      <c r="A25" s="106" t="s">
        <v>52</v>
      </c>
      <c r="B25" s="83"/>
      <c r="C25" s="83"/>
      <c r="D25" s="83"/>
      <c r="E25" s="83"/>
      <c r="F25" s="83"/>
      <c r="G25" s="121"/>
    </row>
    <row r="26" spans="1:7" ht="26.1" customHeight="1" x14ac:dyDescent="0.25">
      <c r="A26" s="107" t="s">
        <v>495</v>
      </c>
      <c r="B26" s="135"/>
      <c r="C26" s="84"/>
      <c r="D26" s="84"/>
      <c r="E26" s="84"/>
      <c r="F26" s="84"/>
      <c r="G26" s="122"/>
    </row>
    <row r="27" spans="1:7" ht="30" customHeight="1" x14ac:dyDescent="0.25">
      <c r="A27" s="59" t="s">
        <v>465</v>
      </c>
      <c r="B27" s="59" t="s">
        <v>53</v>
      </c>
      <c r="C27" s="59" t="s">
        <v>54</v>
      </c>
      <c r="D27" s="59" t="s">
        <v>55</v>
      </c>
      <c r="E27" s="59" t="s">
        <v>496</v>
      </c>
      <c r="F27" s="59" t="s">
        <v>497</v>
      </c>
      <c r="G27" s="187" t="s">
        <v>467</v>
      </c>
    </row>
    <row r="28" spans="1:7" ht="54" x14ac:dyDescent="0.25">
      <c r="A28" s="167">
        <v>1</v>
      </c>
      <c r="B28" s="177" t="s">
        <v>58</v>
      </c>
      <c r="C28" s="151" t="s">
        <v>59</v>
      </c>
      <c r="D28" s="151" t="s">
        <v>60</v>
      </c>
      <c r="E28" s="151" t="s">
        <v>61</v>
      </c>
      <c r="F28" s="151" t="s">
        <v>62</v>
      </c>
      <c r="G28" s="189" t="s">
        <v>2</v>
      </c>
    </row>
    <row r="29" spans="1:7" ht="54" x14ac:dyDescent="0.25">
      <c r="A29" s="109">
        <v>2</v>
      </c>
      <c r="B29" s="137" t="s">
        <v>63</v>
      </c>
      <c r="C29" s="90" t="s">
        <v>64</v>
      </c>
      <c r="D29" s="90" t="s">
        <v>65</v>
      </c>
      <c r="E29" s="90" t="s">
        <v>66</v>
      </c>
      <c r="F29" s="90" t="s">
        <v>67</v>
      </c>
      <c r="G29" s="125" t="s">
        <v>2</v>
      </c>
    </row>
    <row r="30" spans="1:7" ht="54" x14ac:dyDescent="0.25">
      <c r="A30" s="108">
        <v>3</v>
      </c>
      <c r="B30" s="136" t="s">
        <v>68</v>
      </c>
      <c r="C30" s="88" t="s">
        <v>69</v>
      </c>
      <c r="D30" s="88" t="s">
        <v>70</v>
      </c>
      <c r="E30" s="88" t="s">
        <v>71</v>
      </c>
      <c r="F30" s="88" t="s">
        <v>72</v>
      </c>
      <c r="G30" s="124" t="s">
        <v>2</v>
      </c>
    </row>
    <row r="31" spans="1:7" ht="54" x14ac:dyDescent="0.25">
      <c r="A31" s="109">
        <v>4</v>
      </c>
      <c r="B31" s="137" t="s">
        <v>73</v>
      </c>
      <c r="C31" s="90" t="s">
        <v>74</v>
      </c>
      <c r="D31" s="90" t="s">
        <v>75</v>
      </c>
      <c r="E31" s="90" t="s">
        <v>76</v>
      </c>
      <c r="F31" s="90" t="s">
        <v>77</v>
      </c>
      <c r="G31" s="125" t="s">
        <v>2</v>
      </c>
    </row>
    <row r="32" spans="1:7" ht="54" x14ac:dyDescent="0.25">
      <c r="A32" s="108">
        <v>5</v>
      </c>
      <c r="B32" s="136" t="s">
        <v>78</v>
      </c>
      <c r="C32" s="88" t="s">
        <v>79</v>
      </c>
      <c r="D32" s="88" t="s">
        <v>80</v>
      </c>
      <c r="E32" s="88" t="s">
        <v>81</v>
      </c>
      <c r="F32" s="88" t="s">
        <v>82</v>
      </c>
      <c r="G32" s="124" t="s">
        <v>2</v>
      </c>
    </row>
    <row r="33" spans="1:7" ht="40.5" x14ac:dyDescent="0.25">
      <c r="A33" s="111">
        <v>6</v>
      </c>
      <c r="B33" s="139" t="s">
        <v>83</v>
      </c>
      <c r="C33" s="89" t="s">
        <v>84</v>
      </c>
      <c r="D33" s="89" t="s">
        <v>85</v>
      </c>
      <c r="E33" s="89" t="s">
        <v>86</v>
      </c>
      <c r="F33" s="89" t="s">
        <v>87</v>
      </c>
      <c r="G33" s="127" t="s">
        <v>2</v>
      </c>
    </row>
    <row r="34" spans="1:7" ht="9" customHeight="1" x14ac:dyDescent="0.25">
      <c r="A34" s="103"/>
      <c r="B34" s="133"/>
      <c r="C34" s="23"/>
      <c r="D34" s="23"/>
      <c r="E34" s="23"/>
      <c r="F34" s="23"/>
      <c r="G34" s="118"/>
    </row>
    <row r="35" spans="1:7" ht="24" customHeight="1" x14ac:dyDescent="0.25">
      <c r="A35" s="106" t="s">
        <v>88</v>
      </c>
      <c r="B35" s="83"/>
      <c r="C35" s="83"/>
      <c r="D35" s="83"/>
      <c r="E35" s="83"/>
      <c r="F35" s="83"/>
      <c r="G35" s="121"/>
    </row>
    <row r="36" spans="1:7" ht="26.1" customHeight="1" x14ac:dyDescent="0.25">
      <c r="A36" s="107" t="s">
        <v>498</v>
      </c>
      <c r="B36" s="135"/>
      <c r="C36" s="84"/>
      <c r="D36" s="84"/>
      <c r="E36" s="84"/>
      <c r="F36" s="84"/>
      <c r="G36" s="122"/>
    </row>
    <row r="37" spans="1:7" ht="30" customHeight="1" x14ac:dyDescent="0.25">
      <c r="A37" s="59" t="s">
        <v>465</v>
      </c>
      <c r="B37" s="59" t="s">
        <v>408</v>
      </c>
      <c r="C37" s="59" t="s">
        <v>499</v>
      </c>
      <c r="D37" s="59"/>
      <c r="E37" s="59"/>
      <c r="F37" s="59"/>
      <c r="G37" s="187" t="s">
        <v>467</v>
      </c>
    </row>
    <row r="38" spans="1:7" ht="40.5" x14ac:dyDescent="0.25">
      <c r="A38" s="167">
        <v>1</v>
      </c>
      <c r="B38" s="177" t="s">
        <v>92</v>
      </c>
      <c r="C38" s="152" t="s">
        <v>93</v>
      </c>
      <c r="D38" s="152"/>
      <c r="E38" s="152"/>
      <c r="F38" s="152"/>
      <c r="G38" s="189" t="s">
        <v>2</v>
      </c>
    </row>
    <row r="39" spans="1:7" ht="24" x14ac:dyDescent="0.25">
      <c r="A39" s="109">
        <v>2</v>
      </c>
      <c r="B39" s="137" t="s">
        <v>94</v>
      </c>
      <c r="C39" s="94" t="s">
        <v>95</v>
      </c>
      <c r="D39" s="94"/>
      <c r="E39" s="94"/>
      <c r="F39" s="94"/>
      <c r="G39" s="125" t="s">
        <v>2</v>
      </c>
    </row>
    <row r="40" spans="1:7" ht="24" x14ac:dyDescent="0.25">
      <c r="A40" s="110">
        <v>3</v>
      </c>
      <c r="B40" s="138" t="s">
        <v>96</v>
      </c>
      <c r="C40" s="91" t="s">
        <v>97</v>
      </c>
      <c r="D40" s="91"/>
      <c r="E40" s="91"/>
      <c r="F40" s="91"/>
      <c r="G40" s="126" t="s">
        <v>2</v>
      </c>
    </row>
    <row r="41" spans="1:7" ht="9" customHeight="1" x14ac:dyDescent="0.25">
      <c r="A41" s="103"/>
      <c r="B41" s="133"/>
      <c r="C41" s="23"/>
      <c r="D41" s="23"/>
      <c r="E41" s="23"/>
      <c r="F41" s="23"/>
      <c r="G41" s="118"/>
    </row>
    <row r="42" spans="1:7" ht="24" customHeight="1" x14ac:dyDescent="0.25">
      <c r="A42" s="106" t="s">
        <v>98</v>
      </c>
      <c r="B42" s="83"/>
      <c r="C42" s="83"/>
      <c r="D42" s="83"/>
      <c r="E42" s="83"/>
      <c r="F42" s="83"/>
      <c r="G42" s="121"/>
    </row>
    <row r="43" spans="1:7" ht="26.1" customHeight="1" x14ac:dyDescent="0.25">
      <c r="A43" s="107" t="s">
        <v>500</v>
      </c>
      <c r="B43" s="135"/>
      <c r="C43" s="84"/>
      <c r="D43" s="84"/>
      <c r="E43" s="84"/>
      <c r="F43" s="84"/>
      <c r="G43" s="122"/>
    </row>
    <row r="44" spans="1:7" ht="30" customHeight="1" x14ac:dyDescent="0.25">
      <c r="A44" s="59" t="s">
        <v>465</v>
      </c>
      <c r="B44" s="59" t="s">
        <v>409</v>
      </c>
      <c r="C44" s="59" t="s">
        <v>501</v>
      </c>
      <c r="D44" s="59"/>
      <c r="E44" s="59" t="s">
        <v>496</v>
      </c>
      <c r="F44" s="59" t="s">
        <v>497</v>
      </c>
      <c r="G44" s="187" t="s">
        <v>467</v>
      </c>
    </row>
    <row r="45" spans="1:7" ht="40.5" x14ac:dyDescent="0.25">
      <c r="A45" s="168">
        <v>1</v>
      </c>
      <c r="B45" s="178" t="s">
        <v>101</v>
      </c>
      <c r="C45" s="154" t="s">
        <v>102</v>
      </c>
      <c r="D45" s="154"/>
      <c r="E45" s="153" t="s">
        <v>103</v>
      </c>
      <c r="F45" s="153" t="s">
        <v>104</v>
      </c>
      <c r="G45" s="190" t="s">
        <v>2</v>
      </c>
    </row>
    <row r="46" spans="1:7" ht="148.5" x14ac:dyDescent="0.25">
      <c r="A46" s="169">
        <v>2</v>
      </c>
      <c r="B46" s="179" t="s">
        <v>105</v>
      </c>
      <c r="C46" s="158" t="s">
        <v>106</v>
      </c>
      <c r="D46" s="158"/>
      <c r="E46" s="157" t="s">
        <v>107</v>
      </c>
      <c r="F46" s="157" t="s">
        <v>108</v>
      </c>
      <c r="G46" s="191" t="s">
        <v>2</v>
      </c>
    </row>
    <row r="47" spans="1:7" ht="40.5" x14ac:dyDescent="0.25">
      <c r="A47" s="169">
        <v>3</v>
      </c>
      <c r="B47" s="179" t="s">
        <v>109</v>
      </c>
      <c r="C47" s="158" t="s">
        <v>110</v>
      </c>
      <c r="D47" s="158"/>
      <c r="E47" s="157" t="s">
        <v>111</v>
      </c>
      <c r="F47" s="157" t="s">
        <v>112</v>
      </c>
      <c r="G47" s="191" t="s">
        <v>2</v>
      </c>
    </row>
    <row r="48" spans="1:7" ht="54" x14ac:dyDescent="0.25">
      <c r="A48" s="170">
        <v>4</v>
      </c>
      <c r="B48" s="180" t="s">
        <v>113</v>
      </c>
      <c r="C48" s="156" t="s">
        <v>114</v>
      </c>
      <c r="D48" s="156"/>
      <c r="E48" s="155" t="s">
        <v>115</v>
      </c>
      <c r="F48" s="155" t="s">
        <v>116</v>
      </c>
      <c r="G48" s="192" t="s">
        <v>2</v>
      </c>
    </row>
    <row r="49" spans="1:7" ht="9" customHeight="1" x14ac:dyDescent="0.25">
      <c r="A49" s="103"/>
      <c r="B49" s="133"/>
      <c r="C49" s="23"/>
      <c r="D49" s="23"/>
      <c r="E49" s="23"/>
      <c r="F49" s="23"/>
      <c r="G49" s="118"/>
    </row>
    <row r="50" spans="1:7" ht="24" customHeight="1" x14ac:dyDescent="0.25">
      <c r="A50" s="106" t="s">
        <v>502</v>
      </c>
      <c r="B50" s="83"/>
      <c r="C50" s="83"/>
      <c r="D50" s="83"/>
      <c r="E50" s="83"/>
      <c r="F50" s="83"/>
      <c r="G50" s="121"/>
    </row>
    <row r="51" spans="1:7" ht="26.1" customHeight="1" x14ac:dyDescent="0.25">
      <c r="A51" s="107" t="s">
        <v>503</v>
      </c>
      <c r="B51" s="135"/>
      <c r="C51" s="84"/>
      <c r="D51" s="84"/>
      <c r="E51" s="84"/>
      <c r="F51" s="84"/>
      <c r="G51" s="122"/>
    </row>
    <row r="52" spans="1:7" ht="30" customHeight="1" x14ac:dyDescent="0.25">
      <c r="A52" s="59" t="s">
        <v>465</v>
      </c>
      <c r="B52" s="59" t="s">
        <v>504</v>
      </c>
      <c r="C52" s="59" t="s">
        <v>505</v>
      </c>
      <c r="D52" s="59" t="s">
        <v>506</v>
      </c>
      <c r="E52" s="59" t="s">
        <v>507</v>
      </c>
      <c r="F52" s="59" t="s">
        <v>508</v>
      </c>
      <c r="G52" s="187" t="s">
        <v>467</v>
      </c>
    </row>
    <row r="53" spans="1:7" ht="108" x14ac:dyDescent="0.25">
      <c r="A53" s="171">
        <v>1</v>
      </c>
      <c r="B53" s="181" t="s">
        <v>123</v>
      </c>
      <c r="C53" s="159" t="s">
        <v>124</v>
      </c>
      <c r="D53" s="159" t="s">
        <v>125</v>
      </c>
      <c r="E53" s="159" t="s">
        <v>126</v>
      </c>
      <c r="F53" s="159" t="s">
        <v>509</v>
      </c>
      <c r="G53" s="193" t="s">
        <v>2</v>
      </c>
    </row>
    <row r="54" spans="1:7" ht="81" x14ac:dyDescent="0.25">
      <c r="A54" s="112">
        <v>2</v>
      </c>
      <c r="B54" s="182" t="s">
        <v>127</v>
      </c>
      <c r="C54" s="96" t="s">
        <v>128</v>
      </c>
      <c r="D54" s="96" t="s">
        <v>129</v>
      </c>
      <c r="E54" s="96" t="s">
        <v>130</v>
      </c>
      <c r="F54" s="96" t="s">
        <v>509</v>
      </c>
      <c r="G54" s="128" t="s">
        <v>2</v>
      </c>
    </row>
    <row r="55" spans="1:7" ht="81" x14ac:dyDescent="0.25">
      <c r="A55" s="112">
        <v>3</v>
      </c>
      <c r="B55" s="182" t="s">
        <v>131</v>
      </c>
      <c r="C55" s="96" t="s">
        <v>132</v>
      </c>
      <c r="D55" s="96" t="s">
        <v>133</v>
      </c>
      <c r="E55" s="96" t="s">
        <v>134</v>
      </c>
      <c r="F55" s="96" t="s">
        <v>509</v>
      </c>
      <c r="G55" s="128" t="s">
        <v>2</v>
      </c>
    </row>
    <row r="56" spans="1:7" ht="81" x14ac:dyDescent="0.25">
      <c r="A56" s="112">
        <v>4</v>
      </c>
      <c r="B56" s="182" t="s">
        <v>135</v>
      </c>
      <c r="C56" s="96" t="s">
        <v>136</v>
      </c>
      <c r="D56" s="96" t="s">
        <v>137</v>
      </c>
      <c r="E56" s="96" t="s">
        <v>138</v>
      </c>
      <c r="F56" s="96" t="s">
        <v>509</v>
      </c>
      <c r="G56" s="128" t="s">
        <v>2</v>
      </c>
    </row>
    <row r="57" spans="1:7" ht="81" x14ac:dyDescent="0.25">
      <c r="A57" s="172">
        <v>5</v>
      </c>
      <c r="B57" s="183" t="s">
        <v>139</v>
      </c>
      <c r="C57" s="95" t="s">
        <v>140</v>
      </c>
      <c r="D57" s="95" t="s">
        <v>141</v>
      </c>
      <c r="E57" s="95" t="s">
        <v>142</v>
      </c>
      <c r="F57" s="95" t="s">
        <v>509</v>
      </c>
      <c r="G57" s="194" t="s">
        <v>2</v>
      </c>
    </row>
    <row r="58" spans="1:7" ht="9" customHeight="1" x14ac:dyDescent="0.25">
      <c r="A58" s="103"/>
      <c r="B58" s="133"/>
      <c r="C58" s="23"/>
      <c r="D58" s="23"/>
      <c r="E58" s="23"/>
      <c r="F58" s="23"/>
      <c r="G58" s="118"/>
    </row>
    <row r="59" spans="1:7" ht="24" customHeight="1" x14ac:dyDescent="0.25">
      <c r="A59" s="106" t="s">
        <v>410</v>
      </c>
      <c r="B59" s="83"/>
      <c r="C59" s="83"/>
      <c r="D59" s="83"/>
      <c r="E59" s="83"/>
      <c r="F59" s="83"/>
      <c r="G59" s="121"/>
    </row>
    <row r="60" spans="1:7" ht="26.1" customHeight="1" x14ac:dyDescent="0.25">
      <c r="A60" s="107" t="s">
        <v>510</v>
      </c>
      <c r="B60" s="135"/>
      <c r="C60" s="84"/>
      <c r="D60" s="84"/>
      <c r="E60" s="84"/>
      <c r="F60" s="84"/>
      <c r="G60" s="122"/>
    </row>
    <row r="61" spans="1:7" ht="30" customHeight="1" x14ac:dyDescent="0.25">
      <c r="A61" s="59" t="s">
        <v>465</v>
      </c>
      <c r="B61" s="59" t="s">
        <v>511</v>
      </c>
      <c r="C61" s="59" t="s">
        <v>512</v>
      </c>
      <c r="D61" s="59" t="s">
        <v>513</v>
      </c>
      <c r="E61" s="59"/>
      <c r="F61" s="59"/>
      <c r="G61" s="187" t="s">
        <v>467</v>
      </c>
    </row>
    <row r="62" spans="1:7" ht="40.5" x14ac:dyDescent="0.25">
      <c r="A62" s="173">
        <v>1</v>
      </c>
      <c r="B62" s="184" t="s">
        <v>104</v>
      </c>
      <c r="C62" s="160" t="s">
        <v>147</v>
      </c>
      <c r="D62" s="161" t="s">
        <v>148</v>
      </c>
      <c r="E62" s="161"/>
      <c r="F62" s="161"/>
      <c r="G62" s="195" t="s">
        <v>2</v>
      </c>
    </row>
    <row r="63" spans="1:7" ht="81" x14ac:dyDescent="0.25">
      <c r="A63" s="174">
        <v>2</v>
      </c>
      <c r="B63" s="185" t="s">
        <v>149</v>
      </c>
      <c r="C63" s="164" t="s">
        <v>150</v>
      </c>
      <c r="D63" s="165" t="s">
        <v>151</v>
      </c>
      <c r="E63" s="165"/>
      <c r="F63" s="165"/>
      <c r="G63" s="196" t="s">
        <v>2</v>
      </c>
    </row>
    <row r="64" spans="1:7" ht="54" x14ac:dyDescent="0.25">
      <c r="A64" s="174">
        <v>3</v>
      </c>
      <c r="B64" s="185" t="s">
        <v>116</v>
      </c>
      <c r="C64" s="164" t="s">
        <v>152</v>
      </c>
      <c r="D64" s="165" t="s">
        <v>153</v>
      </c>
      <c r="E64" s="165"/>
      <c r="F64" s="165"/>
      <c r="G64" s="196" t="s">
        <v>2</v>
      </c>
    </row>
    <row r="65" spans="1:7" ht="40.5" x14ac:dyDescent="0.25">
      <c r="A65" s="174">
        <v>4</v>
      </c>
      <c r="B65" s="185" t="s">
        <v>154</v>
      </c>
      <c r="C65" s="164" t="s">
        <v>155</v>
      </c>
      <c r="D65" s="165" t="s">
        <v>156</v>
      </c>
      <c r="E65" s="165"/>
      <c r="F65" s="165"/>
      <c r="G65" s="196" t="s">
        <v>2</v>
      </c>
    </row>
    <row r="66" spans="1:7" ht="40.5" x14ac:dyDescent="0.25">
      <c r="A66" s="175">
        <v>5</v>
      </c>
      <c r="B66" s="186" t="s">
        <v>157</v>
      </c>
      <c r="C66" s="162" t="s">
        <v>158</v>
      </c>
      <c r="D66" s="163" t="s">
        <v>159</v>
      </c>
      <c r="E66" s="163"/>
      <c r="F66" s="163"/>
      <c r="G66" s="197" t="s">
        <v>2</v>
      </c>
    </row>
    <row r="67" spans="1:7" ht="9" customHeight="1" x14ac:dyDescent="0.25">
      <c r="A67" s="103"/>
      <c r="B67" s="133"/>
      <c r="C67" s="23"/>
      <c r="D67" s="23"/>
      <c r="E67" s="23"/>
      <c r="F67" s="23"/>
      <c r="G67" s="118"/>
    </row>
    <row r="68" spans="1:7" ht="21.95" customHeight="1" x14ac:dyDescent="0.25">
      <c r="A68" s="104" t="s">
        <v>487</v>
      </c>
      <c r="B68" s="81"/>
      <c r="C68" s="81"/>
      <c r="D68" s="81"/>
      <c r="E68" s="81"/>
      <c r="F68" s="81"/>
      <c r="G68" s="119"/>
    </row>
    <row r="69" spans="1:7" x14ac:dyDescent="0.25">
      <c r="A69" s="115" t="s">
        <v>514</v>
      </c>
      <c r="B69" s="148"/>
      <c r="C69" s="100"/>
      <c r="D69" s="100"/>
      <c r="E69" s="100"/>
      <c r="F69" s="100"/>
      <c r="G69" s="131"/>
    </row>
  </sheetData>
  <mergeCells count="52">
    <mergeCell ref="D65:F65"/>
    <mergeCell ref="D66:F66"/>
    <mergeCell ref="A68:G68"/>
    <mergeCell ref="A69:G69"/>
    <mergeCell ref="A51:G51"/>
    <mergeCell ref="A59:G59"/>
    <mergeCell ref="A60:G60"/>
    <mergeCell ref="D62:F62"/>
    <mergeCell ref="D63:F63"/>
    <mergeCell ref="D64:F64"/>
    <mergeCell ref="A43:G43"/>
    <mergeCell ref="C45:D45"/>
    <mergeCell ref="C46:D46"/>
    <mergeCell ref="C47:D47"/>
    <mergeCell ref="C48:D48"/>
    <mergeCell ref="A50:G50"/>
    <mergeCell ref="A35:G35"/>
    <mergeCell ref="A36:G36"/>
    <mergeCell ref="C38:F38"/>
    <mergeCell ref="C39:F39"/>
    <mergeCell ref="C40:F40"/>
    <mergeCell ref="A42:G42"/>
    <mergeCell ref="C22:D22"/>
    <mergeCell ref="E22:F22"/>
    <mergeCell ref="C23:D23"/>
    <mergeCell ref="E23:F23"/>
    <mergeCell ref="A25:G25"/>
    <mergeCell ref="A26:G26"/>
    <mergeCell ref="A17:G17"/>
    <mergeCell ref="A18:G18"/>
    <mergeCell ref="C20:D20"/>
    <mergeCell ref="E20:F20"/>
    <mergeCell ref="C21:D21"/>
    <mergeCell ref="E21:F21"/>
    <mergeCell ref="C13:D13"/>
    <mergeCell ref="E13:F13"/>
    <mergeCell ref="C14:D14"/>
    <mergeCell ref="E14:F14"/>
    <mergeCell ref="C15:D15"/>
    <mergeCell ref="E15:F15"/>
    <mergeCell ref="C10:D10"/>
    <mergeCell ref="E10:F10"/>
    <mergeCell ref="C11:D11"/>
    <mergeCell ref="E11:F11"/>
    <mergeCell ref="C12:D12"/>
    <mergeCell ref="E12:F12"/>
    <mergeCell ref="A1:G1"/>
    <mergeCell ref="A2:G2"/>
    <mergeCell ref="A4:G4"/>
    <mergeCell ref="A5:G5"/>
    <mergeCell ref="A7:G7"/>
    <mergeCell ref="A8:G8"/>
  </mergeCells>
  <pageMargins left="0.25" right="0.25" top="0.5" bottom="0.5"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F67"/>
  <sheetViews>
    <sheetView showGridLines="0" zoomScale="90" workbookViewId="0">
      <pane ySplit="1" topLeftCell="A42" activePane="bottomLeft" state="frozen"/>
      <selection pane="bottomLeft" activeCell="H10" sqref="H10"/>
    </sheetView>
  </sheetViews>
  <sheetFormatPr defaultRowHeight="15" x14ac:dyDescent="0.25"/>
  <cols>
    <col min="1" max="1" width="8" customWidth="1"/>
    <col min="2" max="2" width="22.85546875" customWidth="1"/>
    <col min="3" max="3" width="35.28515625" customWidth="1"/>
    <col min="4" max="4" width="40" customWidth="1"/>
    <col min="5" max="5" width="29.5703125" customWidth="1"/>
    <col min="6" max="6" width="20" customWidth="1"/>
    <col min="7" max="7" width="18.140625" customWidth="1"/>
  </cols>
  <sheetData>
    <row r="1" spans="1:6" ht="33.950000000000003" customHeight="1" x14ac:dyDescent="0.25">
      <c r="A1" s="101" t="s">
        <v>461</v>
      </c>
      <c r="B1" s="80"/>
      <c r="C1" s="80"/>
      <c r="D1" s="80"/>
      <c r="E1" s="80"/>
      <c r="F1" s="116"/>
    </row>
    <row r="2" spans="1:6" ht="27.95" customHeight="1" x14ac:dyDescent="0.25">
      <c r="A2" s="102" t="s">
        <v>462</v>
      </c>
      <c r="B2" s="132"/>
      <c r="C2" s="7"/>
      <c r="D2" s="7"/>
      <c r="E2" s="7"/>
      <c r="F2" s="117"/>
    </row>
    <row r="3" spans="1:6" ht="9" customHeight="1" x14ac:dyDescent="0.25">
      <c r="A3" s="103"/>
      <c r="B3" s="133"/>
      <c r="C3" s="23"/>
      <c r="D3" s="23"/>
      <c r="E3" s="23"/>
      <c r="F3" s="118"/>
    </row>
    <row r="4" spans="1:6" ht="9" customHeight="1" x14ac:dyDescent="0.25">
      <c r="A4" s="103"/>
      <c r="B4" s="133"/>
      <c r="C4" s="23"/>
      <c r="D4" s="23"/>
      <c r="E4" s="23"/>
      <c r="F4" s="118"/>
    </row>
    <row r="5" spans="1:6" ht="24" customHeight="1" x14ac:dyDescent="0.25">
      <c r="A5" s="106" t="s">
        <v>463</v>
      </c>
      <c r="B5" s="83"/>
      <c r="C5" s="83"/>
      <c r="D5" s="83"/>
      <c r="E5" s="83"/>
      <c r="F5" s="121"/>
    </row>
    <row r="6" spans="1:6" ht="26.1" customHeight="1" x14ac:dyDescent="0.25">
      <c r="A6" s="107" t="s">
        <v>464</v>
      </c>
      <c r="B6" s="135"/>
      <c r="C6" s="84"/>
      <c r="D6" s="84"/>
      <c r="E6" s="84"/>
      <c r="F6" s="122"/>
    </row>
    <row r="7" spans="1:6" ht="30" customHeight="1" x14ac:dyDescent="0.25">
      <c r="A7" s="86" t="s">
        <v>465</v>
      </c>
      <c r="B7" s="85" t="s">
        <v>21</v>
      </c>
      <c r="C7" s="85" t="s">
        <v>175</v>
      </c>
      <c r="D7" s="85" t="s">
        <v>176</v>
      </c>
      <c r="E7" s="85" t="s">
        <v>466</v>
      </c>
      <c r="F7" s="123" t="s">
        <v>467</v>
      </c>
    </row>
    <row r="8" spans="1:6" ht="54" x14ac:dyDescent="0.25">
      <c r="A8" s="108">
        <v>1</v>
      </c>
      <c r="B8" s="136" t="s">
        <v>411</v>
      </c>
      <c r="C8" s="88" t="s">
        <v>178</v>
      </c>
      <c r="D8" s="88" t="s">
        <v>179</v>
      </c>
      <c r="E8" s="88" t="s">
        <v>180</v>
      </c>
      <c r="F8" s="124" t="s">
        <v>3</v>
      </c>
    </row>
    <row r="9" spans="1:6" ht="40.5" x14ac:dyDescent="0.25">
      <c r="A9" s="109">
        <v>2</v>
      </c>
      <c r="B9" s="137" t="s">
        <v>411</v>
      </c>
      <c r="C9" s="90" t="s">
        <v>181</v>
      </c>
      <c r="D9" s="90" t="s">
        <v>182</v>
      </c>
      <c r="E9" s="90" t="s">
        <v>183</v>
      </c>
      <c r="F9" s="125" t="s">
        <v>3</v>
      </c>
    </row>
    <row r="10" spans="1:6" ht="40.5" x14ac:dyDescent="0.25">
      <c r="A10" s="108">
        <v>3</v>
      </c>
      <c r="B10" s="136" t="s">
        <v>411</v>
      </c>
      <c r="C10" s="88" t="s">
        <v>184</v>
      </c>
      <c r="D10" s="88" t="s">
        <v>185</v>
      </c>
      <c r="E10" s="88" t="s">
        <v>186</v>
      </c>
      <c r="F10" s="124" t="s">
        <v>3</v>
      </c>
    </row>
    <row r="11" spans="1:6" ht="40.5" x14ac:dyDescent="0.25">
      <c r="A11" s="109">
        <v>4</v>
      </c>
      <c r="B11" s="137" t="s">
        <v>411</v>
      </c>
      <c r="C11" s="90" t="s">
        <v>187</v>
      </c>
      <c r="D11" s="90" t="s">
        <v>188</v>
      </c>
      <c r="E11" s="90" t="s">
        <v>189</v>
      </c>
      <c r="F11" s="125" t="s">
        <v>3</v>
      </c>
    </row>
    <row r="12" spans="1:6" ht="40.5" x14ac:dyDescent="0.25">
      <c r="A12" s="110">
        <v>5</v>
      </c>
      <c r="B12" s="138" t="s">
        <v>411</v>
      </c>
      <c r="C12" s="87" t="s">
        <v>190</v>
      </c>
      <c r="D12" s="87" t="s">
        <v>191</v>
      </c>
      <c r="E12" s="87" t="s">
        <v>192</v>
      </c>
      <c r="F12" s="126" t="s">
        <v>3</v>
      </c>
    </row>
    <row r="13" spans="1:6" ht="9" customHeight="1" x14ac:dyDescent="0.25">
      <c r="A13" s="103"/>
      <c r="B13" s="133"/>
      <c r="C13" s="23"/>
      <c r="D13" s="23"/>
      <c r="E13" s="23"/>
      <c r="F13" s="118"/>
    </row>
    <row r="14" spans="1:6" ht="24" customHeight="1" x14ac:dyDescent="0.25">
      <c r="A14" s="106" t="s">
        <v>468</v>
      </c>
      <c r="B14" s="83"/>
      <c r="C14" s="83"/>
      <c r="D14" s="83"/>
      <c r="E14" s="83"/>
      <c r="F14" s="121"/>
    </row>
    <row r="15" spans="1:6" ht="26.1" customHeight="1" x14ac:dyDescent="0.25">
      <c r="A15" s="107" t="s">
        <v>469</v>
      </c>
      <c r="B15" s="135"/>
      <c r="C15" s="84"/>
      <c r="D15" s="84"/>
      <c r="E15" s="84"/>
      <c r="F15" s="122"/>
    </row>
    <row r="16" spans="1:6" ht="30" customHeight="1" x14ac:dyDescent="0.25">
      <c r="A16" s="86" t="s">
        <v>465</v>
      </c>
      <c r="B16" s="85" t="s">
        <v>348</v>
      </c>
      <c r="C16" s="85" t="s">
        <v>470</v>
      </c>
      <c r="D16" s="85" t="s">
        <v>266</v>
      </c>
      <c r="E16" s="85" t="s">
        <v>471</v>
      </c>
      <c r="F16" s="123" t="s">
        <v>467</v>
      </c>
    </row>
    <row r="17" spans="1:6" ht="40.5" x14ac:dyDescent="0.25">
      <c r="A17" s="109">
        <v>1</v>
      </c>
      <c r="B17" s="137" t="s">
        <v>267</v>
      </c>
      <c r="C17" s="90" t="s">
        <v>268</v>
      </c>
      <c r="D17" s="90" t="s">
        <v>269</v>
      </c>
      <c r="E17" s="90" t="s">
        <v>412</v>
      </c>
      <c r="F17" s="125" t="s">
        <v>4</v>
      </c>
    </row>
    <row r="18" spans="1:6" ht="54" x14ac:dyDescent="0.25">
      <c r="A18" s="108">
        <v>2</v>
      </c>
      <c r="B18" s="136" t="s">
        <v>270</v>
      </c>
      <c r="C18" s="88" t="s">
        <v>271</v>
      </c>
      <c r="D18" s="88" t="s">
        <v>272</v>
      </c>
      <c r="E18" s="88" t="s">
        <v>412</v>
      </c>
      <c r="F18" s="124" t="s">
        <v>4</v>
      </c>
    </row>
    <row r="19" spans="1:6" x14ac:dyDescent="0.25">
      <c r="A19" s="109">
        <v>3</v>
      </c>
      <c r="B19" s="137" t="s">
        <v>273</v>
      </c>
      <c r="C19" s="90" t="s">
        <v>274</v>
      </c>
      <c r="D19" s="90" t="s">
        <v>275</v>
      </c>
      <c r="E19" s="90" t="s">
        <v>412</v>
      </c>
      <c r="F19" s="125" t="s">
        <v>4</v>
      </c>
    </row>
    <row r="20" spans="1:6" ht="81" x14ac:dyDescent="0.25">
      <c r="A20" s="108">
        <v>4</v>
      </c>
      <c r="B20" s="136" t="s">
        <v>276</v>
      </c>
      <c r="C20" s="88" t="s">
        <v>277</v>
      </c>
      <c r="D20" s="88" t="s">
        <v>278</v>
      </c>
      <c r="E20" s="88" t="s">
        <v>412</v>
      </c>
      <c r="F20" s="124" t="s">
        <v>4</v>
      </c>
    </row>
    <row r="21" spans="1:6" ht="81" x14ac:dyDescent="0.25">
      <c r="A21" s="111">
        <v>5</v>
      </c>
      <c r="B21" s="139" t="s">
        <v>279</v>
      </c>
      <c r="C21" s="89" t="s">
        <v>280</v>
      </c>
      <c r="D21" s="89" t="s">
        <v>281</v>
      </c>
      <c r="E21" s="89" t="s">
        <v>412</v>
      </c>
      <c r="F21" s="127" t="s">
        <v>4</v>
      </c>
    </row>
    <row r="22" spans="1:6" ht="9" customHeight="1" x14ac:dyDescent="0.25">
      <c r="A22" s="103"/>
      <c r="B22" s="133"/>
      <c r="C22" s="23"/>
      <c r="D22" s="23"/>
      <c r="E22" s="23"/>
      <c r="F22" s="118"/>
    </row>
    <row r="23" spans="1:6" ht="24" customHeight="1" x14ac:dyDescent="0.25">
      <c r="A23" s="106" t="s">
        <v>472</v>
      </c>
      <c r="B23" s="83"/>
      <c r="C23" s="83"/>
      <c r="D23" s="83"/>
      <c r="E23" s="83"/>
      <c r="F23" s="121"/>
    </row>
    <row r="24" spans="1:6" ht="26.1" customHeight="1" x14ac:dyDescent="0.25">
      <c r="A24" s="107" t="s">
        <v>473</v>
      </c>
      <c r="B24" s="135"/>
      <c r="C24" s="84"/>
      <c r="D24" s="84"/>
      <c r="E24" s="84"/>
      <c r="F24" s="122"/>
    </row>
    <row r="25" spans="1:6" ht="30" customHeight="1" x14ac:dyDescent="0.25">
      <c r="A25" s="86" t="s">
        <v>465</v>
      </c>
      <c r="B25" s="85" t="s">
        <v>474</v>
      </c>
      <c r="C25" s="85"/>
      <c r="D25" s="85"/>
      <c r="E25" s="85"/>
      <c r="F25" s="123" t="s">
        <v>467</v>
      </c>
    </row>
    <row r="26" spans="1:6" ht="24" x14ac:dyDescent="0.25">
      <c r="A26" s="108">
        <v>1</v>
      </c>
      <c r="B26" s="140" t="s">
        <v>413</v>
      </c>
      <c r="C26" s="92"/>
      <c r="D26" s="92"/>
      <c r="E26" s="92"/>
      <c r="F26" s="124" t="s">
        <v>4</v>
      </c>
    </row>
    <row r="27" spans="1:6" ht="24" x14ac:dyDescent="0.25">
      <c r="A27" s="109">
        <v>2</v>
      </c>
      <c r="B27" s="141" t="s">
        <v>414</v>
      </c>
      <c r="C27" s="94"/>
      <c r="D27" s="94"/>
      <c r="E27" s="94"/>
      <c r="F27" s="125" t="s">
        <v>4</v>
      </c>
    </row>
    <row r="28" spans="1:6" ht="24" x14ac:dyDescent="0.25">
      <c r="A28" s="108">
        <v>3</v>
      </c>
      <c r="B28" s="140" t="s">
        <v>415</v>
      </c>
      <c r="C28" s="92"/>
      <c r="D28" s="92"/>
      <c r="E28" s="92"/>
      <c r="F28" s="124" t="s">
        <v>4</v>
      </c>
    </row>
    <row r="29" spans="1:6" ht="24" x14ac:dyDescent="0.25">
      <c r="A29" s="109">
        <v>4</v>
      </c>
      <c r="B29" s="141" t="s">
        <v>416</v>
      </c>
      <c r="C29" s="94"/>
      <c r="D29" s="94"/>
      <c r="E29" s="94"/>
      <c r="F29" s="125" t="s">
        <v>4</v>
      </c>
    </row>
    <row r="30" spans="1:6" ht="24" x14ac:dyDescent="0.25">
      <c r="A30" s="110">
        <v>5</v>
      </c>
      <c r="B30" s="142" t="s">
        <v>417</v>
      </c>
      <c r="C30" s="91"/>
      <c r="D30" s="91"/>
      <c r="E30" s="91"/>
      <c r="F30" s="126" t="s">
        <v>4</v>
      </c>
    </row>
    <row r="31" spans="1:6" ht="9" customHeight="1" x14ac:dyDescent="0.25">
      <c r="A31" s="103"/>
      <c r="B31" s="133"/>
      <c r="C31" s="23"/>
      <c r="D31" s="23"/>
      <c r="E31" s="23"/>
      <c r="F31" s="118"/>
    </row>
    <row r="32" spans="1:6" ht="24" customHeight="1" x14ac:dyDescent="0.25">
      <c r="A32" s="106" t="s">
        <v>475</v>
      </c>
      <c r="B32" s="83"/>
      <c r="C32" s="83"/>
      <c r="D32" s="83"/>
      <c r="E32" s="83"/>
      <c r="F32" s="121"/>
    </row>
    <row r="33" spans="1:6" ht="26.1" customHeight="1" x14ac:dyDescent="0.25">
      <c r="A33" s="107" t="s">
        <v>476</v>
      </c>
      <c r="B33" s="135"/>
      <c r="C33" s="84"/>
      <c r="D33" s="84"/>
      <c r="E33" s="84"/>
      <c r="F33" s="122"/>
    </row>
    <row r="34" spans="1:6" ht="30" customHeight="1" x14ac:dyDescent="0.25">
      <c r="A34" s="86" t="s">
        <v>465</v>
      </c>
      <c r="B34" s="85" t="s">
        <v>348</v>
      </c>
      <c r="C34" s="85" t="s">
        <v>477</v>
      </c>
      <c r="D34" s="85"/>
      <c r="E34" s="85" t="s">
        <v>350</v>
      </c>
      <c r="F34" s="123" t="s">
        <v>467</v>
      </c>
    </row>
    <row r="35" spans="1:6" ht="67.5" x14ac:dyDescent="0.25">
      <c r="A35" s="109">
        <v>1</v>
      </c>
      <c r="B35" s="137" t="s">
        <v>267</v>
      </c>
      <c r="C35" s="94" t="s">
        <v>351</v>
      </c>
      <c r="D35" s="94"/>
      <c r="E35" s="90" t="s">
        <v>352</v>
      </c>
      <c r="F35" s="125" t="s">
        <v>4</v>
      </c>
    </row>
    <row r="36" spans="1:6" ht="67.5" x14ac:dyDescent="0.25">
      <c r="A36" s="108">
        <v>2</v>
      </c>
      <c r="B36" s="136" t="s">
        <v>270</v>
      </c>
      <c r="C36" s="92" t="s">
        <v>353</v>
      </c>
      <c r="D36" s="92"/>
      <c r="E36" s="88" t="s">
        <v>354</v>
      </c>
      <c r="F36" s="124" t="s">
        <v>4</v>
      </c>
    </row>
    <row r="37" spans="1:6" ht="67.5" x14ac:dyDescent="0.25">
      <c r="A37" s="109">
        <v>3</v>
      </c>
      <c r="B37" s="137" t="s">
        <v>273</v>
      </c>
      <c r="C37" s="94" t="s">
        <v>355</v>
      </c>
      <c r="D37" s="94"/>
      <c r="E37" s="90" t="s">
        <v>356</v>
      </c>
      <c r="F37" s="125" t="s">
        <v>4</v>
      </c>
    </row>
    <row r="38" spans="1:6" ht="67.5" x14ac:dyDescent="0.25">
      <c r="A38" s="108">
        <v>4</v>
      </c>
      <c r="B38" s="136" t="s">
        <v>276</v>
      </c>
      <c r="C38" s="92" t="s">
        <v>357</v>
      </c>
      <c r="D38" s="92"/>
      <c r="E38" s="88" t="s">
        <v>358</v>
      </c>
      <c r="F38" s="124" t="s">
        <v>4</v>
      </c>
    </row>
    <row r="39" spans="1:6" ht="67.5" x14ac:dyDescent="0.25">
      <c r="A39" s="111">
        <v>5</v>
      </c>
      <c r="B39" s="139" t="s">
        <v>279</v>
      </c>
      <c r="C39" s="93" t="s">
        <v>359</v>
      </c>
      <c r="D39" s="93"/>
      <c r="E39" s="89" t="s">
        <v>360</v>
      </c>
      <c r="F39" s="127" t="s">
        <v>4</v>
      </c>
    </row>
    <row r="40" spans="1:6" ht="9" customHeight="1" x14ac:dyDescent="0.25">
      <c r="A40" s="103"/>
      <c r="B40" s="133"/>
      <c r="C40" s="23"/>
      <c r="D40" s="23"/>
      <c r="E40" s="23"/>
      <c r="F40" s="118"/>
    </row>
    <row r="41" spans="1:6" ht="24" customHeight="1" x14ac:dyDescent="0.25">
      <c r="A41" s="106" t="s">
        <v>478</v>
      </c>
      <c r="B41" s="83"/>
      <c r="C41" s="83"/>
      <c r="D41" s="83"/>
      <c r="E41" s="83"/>
      <c r="F41" s="121"/>
    </row>
    <row r="42" spans="1:6" ht="26.1" customHeight="1" x14ac:dyDescent="0.25">
      <c r="A42" s="107" t="s">
        <v>479</v>
      </c>
      <c r="B42" s="135"/>
      <c r="C42" s="84"/>
      <c r="D42" s="84"/>
      <c r="E42" s="84"/>
      <c r="F42" s="122"/>
    </row>
    <row r="43" spans="1:6" ht="30" customHeight="1" x14ac:dyDescent="0.25">
      <c r="A43" s="86" t="s">
        <v>465</v>
      </c>
      <c r="B43" s="85" t="s">
        <v>480</v>
      </c>
      <c r="C43" s="85"/>
      <c r="D43" s="85"/>
      <c r="E43" s="85"/>
      <c r="F43" s="123" t="s">
        <v>467</v>
      </c>
    </row>
    <row r="44" spans="1:6" ht="24" x14ac:dyDescent="0.25">
      <c r="A44" s="112">
        <v>1</v>
      </c>
      <c r="B44" s="143" t="s">
        <v>418</v>
      </c>
      <c r="C44" s="97"/>
      <c r="D44" s="97"/>
      <c r="E44" s="97"/>
      <c r="F44" s="128" t="s">
        <v>4</v>
      </c>
    </row>
    <row r="45" spans="1:6" ht="24" x14ac:dyDescent="0.25">
      <c r="A45" s="112">
        <v>2</v>
      </c>
      <c r="B45" s="143" t="s">
        <v>419</v>
      </c>
      <c r="C45" s="97"/>
      <c r="D45" s="97"/>
      <c r="E45" s="97"/>
      <c r="F45" s="128" t="s">
        <v>4</v>
      </c>
    </row>
    <row r="46" spans="1:6" ht="24" x14ac:dyDescent="0.25">
      <c r="A46" s="112">
        <v>3</v>
      </c>
      <c r="B46" s="143" t="s">
        <v>420</v>
      </c>
      <c r="C46" s="97"/>
      <c r="D46" s="97"/>
      <c r="E46" s="97"/>
      <c r="F46" s="128" t="s">
        <v>4</v>
      </c>
    </row>
    <row r="47" spans="1:6" ht="24" x14ac:dyDescent="0.25">
      <c r="A47" s="112">
        <v>4</v>
      </c>
      <c r="B47" s="143" t="s">
        <v>421</v>
      </c>
      <c r="C47" s="97"/>
      <c r="D47" s="97"/>
      <c r="E47" s="97"/>
      <c r="F47" s="128" t="s">
        <v>4</v>
      </c>
    </row>
    <row r="48" spans="1:6" ht="24" x14ac:dyDescent="0.25">
      <c r="A48" s="113">
        <v>5</v>
      </c>
      <c r="B48" s="144" t="s">
        <v>367</v>
      </c>
      <c r="C48" s="98"/>
      <c r="D48" s="98"/>
      <c r="E48" s="98"/>
      <c r="F48" s="129" t="s">
        <v>4</v>
      </c>
    </row>
    <row r="49" spans="1:6" ht="9" customHeight="1" x14ac:dyDescent="0.25">
      <c r="A49" s="103"/>
      <c r="B49" s="133"/>
      <c r="C49" s="23"/>
      <c r="D49" s="23"/>
      <c r="E49" s="23"/>
      <c r="F49" s="118"/>
    </row>
    <row r="50" spans="1:6" ht="24" customHeight="1" x14ac:dyDescent="0.25">
      <c r="A50" s="106" t="s">
        <v>481</v>
      </c>
      <c r="B50" s="83"/>
      <c r="C50" s="83"/>
      <c r="D50" s="83"/>
      <c r="E50" s="83"/>
      <c r="F50" s="121"/>
    </row>
    <row r="51" spans="1:6" ht="26.1" customHeight="1" x14ac:dyDescent="0.25">
      <c r="A51" s="107" t="s">
        <v>482</v>
      </c>
      <c r="B51" s="135"/>
      <c r="C51" s="84"/>
      <c r="D51" s="84"/>
      <c r="E51" s="84"/>
      <c r="F51" s="122"/>
    </row>
    <row r="52" spans="1:6" ht="30" customHeight="1" x14ac:dyDescent="0.25">
      <c r="A52" s="86" t="s">
        <v>465</v>
      </c>
      <c r="B52" s="85" t="s">
        <v>422</v>
      </c>
      <c r="C52" s="85"/>
      <c r="D52" s="85"/>
      <c r="E52" s="85"/>
      <c r="F52" s="123" t="s">
        <v>467</v>
      </c>
    </row>
    <row r="53" spans="1:6" x14ac:dyDescent="0.25">
      <c r="A53" s="109">
        <v>1</v>
      </c>
      <c r="B53" s="141" t="s">
        <v>423</v>
      </c>
      <c r="C53" s="94"/>
      <c r="D53" s="94"/>
      <c r="E53" s="94"/>
      <c r="F53" s="125" t="s">
        <v>3</v>
      </c>
    </row>
    <row r="54" spans="1:6" x14ac:dyDescent="0.25">
      <c r="A54" s="108">
        <v>2</v>
      </c>
      <c r="B54" s="140" t="s">
        <v>424</v>
      </c>
      <c r="C54" s="92"/>
      <c r="D54" s="92"/>
      <c r="E54" s="92"/>
      <c r="F54" s="124" t="s">
        <v>3</v>
      </c>
    </row>
    <row r="55" spans="1:6" x14ac:dyDescent="0.25">
      <c r="A55" s="109">
        <v>3</v>
      </c>
      <c r="B55" s="141" t="s">
        <v>425</v>
      </c>
      <c r="C55" s="94"/>
      <c r="D55" s="94"/>
      <c r="E55" s="94"/>
      <c r="F55" s="125" t="s">
        <v>3</v>
      </c>
    </row>
    <row r="56" spans="1:6" x14ac:dyDescent="0.25">
      <c r="A56" s="108">
        <v>4</v>
      </c>
      <c r="B56" s="140" t="s">
        <v>426</v>
      </c>
      <c r="C56" s="92"/>
      <c r="D56" s="92"/>
      <c r="E56" s="92"/>
      <c r="F56" s="124" t="s">
        <v>3</v>
      </c>
    </row>
    <row r="57" spans="1:6" x14ac:dyDescent="0.25">
      <c r="A57" s="111">
        <v>5</v>
      </c>
      <c r="B57" s="145" t="s">
        <v>427</v>
      </c>
      <c r="C57" s="93"/>
      <c r="D57" s="93"/>
      <c r="E57" s="93"/>
      <c r="F57" s="127" t="s">
        <v>3</v>
      </c>
    </row>
    <row r="58" spans="1:6" ht="9" customHeight="1" x14ac:dyDescent="0.25">
      <c r="A58" s="103"/>
      <c r="B58" s="133"/>
      <c r="C58" s="23"/>
      <c r="D58" s="23"/>
      <c r="E58" s="23"/>
      <c r="F58" s="118"/>
    </row>
    <row r="59" spans="1:6" ht="24" customHeight="1" x14ac:dyDescent="0.25">
      <c r="A59" s="106" t="s">
        <v>483</v>
      </c>
      <c r="B59" s="83"/>
      <c r="C59" s="83"/>
      <c r="D59" s="83"/>
      <c r="E59" s="83"/>
      <c r="F59" s="121"/>
    </row>
    <row r="60" spans="1:6" ht="26.1" customHeight="1" x14ac:dyDescent="0.25">
      <c r="A60" s="107" t="s">
        <v>484</v>
      </c>
      <c r="B60" s="135"/>
      <c r="C60" s="84"/>
      <c r="D60" s="84"/>
      <c r="E60" s="84"/>
      <c r="F60" s="122"/>
    </row>
    <row r="61" spans="1:6" ht="30" customHeight="1" x14ac:dyDescent="0.25">
      <c r="A61" s="86" t="s">
        <v>465</v>
      </c>
      <c r="B61" s="85" t="s">
        <v>485</v>
      </c>
      <c r="C61" s="85" t="s">
        <v>486</v>
      </c>
      <c r="D61" s="85"/>
      <c r="E61" s="85"/>
      <c r="F61" s="123" t="s">
        <v>467</v>
      </c>
    </row>
    <row r="62" spans="1:6" x14ac:dyDescent="0.25">
      <c r="A62" s="114">
        <v>1</v>
      </c>
      <c r="B62" s="146" t="s">
        <v>428</v>
      </c>
      <c r="C62" s="99" t="s">
        <v>429</v>
      </c>
      <c r="D62" s="99"/>
      <c r="E62" s="99"/>
      <c r="F62" s="130" t="s">
        <v>3</v>
      </c>
    </row>
    <row r="63" spans="1:6" x14ac:dyDescent="0.25">
      <c r="A63" s="114">
        <v>2</v>
      </c>
      <c r="B63" s="146" t="s">
        <v>430</v>
      </c>
      <c r="C63" s="99" t="s">
        <v>431</v>
      </c>
      <c r="D63" s="99"/>
      <c r="E63" s="99"/>
      <c r="F63" s="130" t="s">
        <v>3</v>
      </c>
    </row>
    <row r="64" spans="1:6" x14ac:dyDescent="0.25">
      <c r="A64" s="113">
        <v>3</v>
      </c>
      <c r="B64" s="147" t="s">
        <v>432</v>
      </c>
      <c r="C64" s="98" t="s">
        <v>433</v>
      </c>
      <c r="D64" s="98"/>
      <c r="E64" s="98"/>
      <c r="F64" s="129" t="s">
        <v>3</v>
      </c>
    </row>
    <row r="65" spans="1:6" ht="9" customHeight="1" x14ac:dyDescent="0.25"/>
    <row r="66" spans="1:6" ht="21.95" customHeight="1" x14ac:dyDescent="0.25">
      <c r="A66" s="211" t="s">
        <v>487</v>
      </c>
      <c r="B66" s="211"/>
      <c r="C66" s="211"/>
      <c r="D66" s="211"/>
      <c r="E66" s="211"/>
      <c r="F66" s="211"/>
    </row>
    <row r="67" spans="1:6" ht="30" customHeight="1" x14ac:dyDescent="0.25">
      <c r="A67" s="1" t="s">
        <v>488</v>
      </c>
      <c r="B67" s="1"/>
      <c r="C67" s="1"/>
      <c r="D67" s="1"/>
      <c r="E67" s="1"/>
      <c r="F67" s="1"/>
    </row>
  </sheetData>
  <mergeCells count="41">
    <mergeCell ref="A67:F67"/>
    <mergeCell ref="A66:F66"/>
    <mergeCell ref="A59:F59"/>
    <mergeCell ref="A60:F60"/>
    <mergeCell ref="C62:E62"/>
    <mergeCell ref="C63:E63"/>
    <mergeCell ref="C64:E64"/>
    <mergeCell ref="A51:F51"/>
    <mergeCell ref="B53:E53"/>
    <mergeCell ref="B54:E54"/>
    <mergeCell ref="B55:E55"/>
    <mergeCell ref="B56:E56"/>
    <mergeCell ref="B57:E57"/>
    <mergeCell ref="B44:E44"/>
    <mergeCell ref="B45:E45"/>
    <mergeCell ref="B46:E46"/>
    <mergeCell ref="B47:E47"/>
    <mergeCell ref="B48:E48"/>
    <mergeCell ref="A50:F50"/>
    <mergeCell ref="C36:D36"/>
    <mergeCell ref="C37:D37"/>
    <mergeCell ref="C38:D38"/>
    <mergeCell ref="C39:D39"/>
    <mergeCell ref="A41:F41"/>
    <mergeCell ref="A42:F42"/>
    <mergeCell ref="B28:E28"/>
    <mergeCell ref="B29:E29"/>
    <mergeCell ref="B30:E30"/>
    <mergeCell ref="A32:F32"/>
    <mergeCell ref="A33:F33"/>
    <mergeCell ref="C35:D35"/>
    <mergeCell ref="A14:F14"/>
    <mergeCell ref="A15:F15"/>
    <mergeCell ref="A23:F23"/>
    <mergeCell ref="A24:F24"/>
    <mergeCell ref="B26:E26"/>
    <mergeCell ref="B27:E27"/>
    <mergeCell ref="A1:F1"/>
    <mergeCell ref="A2:F2"/>
    <mergeCell ref="A5:F5"/>
    <mergeCell ref="A6:F6"/>
  </mergeCells>
  <pageMargins left="0.25" right="0.25" top="0.5" bottom="0.5"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C24"/>
  <sheetViews>
    <sheetView showGridLines="0" zoomScale="90" workbookViewId="0">
      <pane ySplit="1" topLeftCell="A2" activePane="bottomLeft" state="frozen"/>
      <selection pane="bottomLeft" activeCell="E5" sqref="E5"/>
    </sheetView>
  </sheetViews>
  <sheetFormatPr defaultRowHeight="15" x14ac:dyDescent="0.25"/>
  <cols>
    <col min="1" max="1" width="22.85546875" style="212" customWidth="1"/>
    <col min="2" max="2" width="24.7109375" style="212" customWidth="1"/>
    <col min="3" max="3" width="41.85546875" style="212" customWidth="1"/>
  </cols>
  <sheetData>
    <row r="1" spans="1:3" ht="30" customHeight="1" thickBot="1" x14ac:dyDescent="0.3">
      <c r="A1" s="78" t="s">
        <v>385</v>
      </c>
      <c r="B1" s="78" t="s">
        <v>434</v>
      </c>
      <c r="C1" s="78" t="s">
        <v>435</v>
      </c>
    </row>
    <row r="2" spans="1:3" x14ac:dyDescent="0.25">
      <c r="A2" s="2" t="s">
        <v>3</v>
      </c>
      <c r="B2" s="2" t="s">
        <v>254</v>
      </c>
      <c r="C2" s="4" t="s">
        <v>436</v>
      </c>
    </row>
    <row r="3" spans="1:3" x14ac:dyDescent="0.25">
      <c r="A3" s="2" t="s">
        <v>3</v>
      </c>
      <c r="B3" s="2" t="s">
        <v>254</v>
      </c>
      <c r="C3" s="4" t="s">
        <v>437</v>
      </c>
    </row>
    <row r="4" spans="1:3" ht="24" x14ac:dyDescent="0.25">
      <c r="A4" s="2" t="s">
        <v>3</v>
      </c>
      <c r="B4" s="2" t="s">
        <v>254</v>
      </c>
      <c r="C4" s="4" t="s">
        <v>438</v>
      </c>
    </row>
    <row r="5" spans="1:3" ht="24" x14ac:dyDescent="0.25">
      <c r="A5" s="2" t="s">
        <v>3</v>
      </c>
      <c r="B5" s="2" t="s">
        <v>254</v>
      </c>
      <c r="C5" s="4" t="s">
        <v>439</v>
      </c>
    </row>
    <row r="6" spans="1:3" ht="24" x14ac:dyDescent="0.25">
      <c r="A6" s="2" t="s">
        <v>3</v>
      </c>
      <c r="B6" s="2" t="s">
        <v>254</v>
      </c>
      <c r="C6" s="4" t="s">
        <v>440</v>
      </c>
    </row>
    <row r="7" spans="1:3" x14ac:dyDescent="0.25">
      <c r="A7" s="2" t="s">
        <v>3</v>
      </c>
      <c r="B7" s="2" t="s">
        <v>254</v>
      </c>
      <c r="C7" s="4" t="s">
        <v>441</v>
      </c>
    </row>
    <row r="8" spans="1:3" ht="24" x14ac:dyDescent="0.25">
      <c r="A8" s="2" t="s">
        <v>3</v>
      </c>
      <c r="B8" s="2" t="s">
        <v>254</v>
      </c>
      <c r="C8" s="4" t="s">
        <v>442</v>
      </c>
    </row>
    <row r="9" spans="1:3" ht="24" x14ac:dyDescent="0.25">
      <c r="A9" s="2" t="s">
        <v>2</v>
      </c>
      <c r="B9" s="2" t="s">
        <v>160</v>
      </c>
      <c r="C9" s="4" t="s">
        <v>443</v>
      </c>
    </row>
    <row r="10" spans="1:3" ht="24" x14ac:dyDescent="0.25">
      <c r="A10" s="2" t="s">
        <v>2</v>
      </c>
      <c r="B10" s="2" t="s">
        <v>160</v>
      </c>
      <c r="C10" s="4" t="s">
        <v>444</v>
      </c>
    </row>
    <row r="11" spans="1:3" ht="24" x14ac:dyDescent="0.25">
      <c r="A11" s="2" t="s">
        <v>2</v>
      </c>
      <c r="B11" s="2" t="s">
        <v>160</v>
      </c>
      <c r="C11" s="4" t="s">
        <v>441</v>
      </c>
    </row>
    <row r="12" spans="1:3" ht="24" x14ac:dyDescent="0.25">
      <c r="A12" s="2" t="s">
        <v>2</v>
      </c>
      <c r="B12" s="2" t="s">
        <v>160</v>
      </c>
      <c r="C12" s="4" t="s">
        <v>445</v>
      </c>
    </row>
    <row r="13" spans="1:3" ht="24" x14ac:dyDescent="0.25">
      <c r="A13" s="2" t="s">
        <v>2</v>
      </c>
      <c r="B13" s="2" t="s">
        <v>160</v>
      </c>
      <c r="C13" s="4" t="s">
        <v>440</v>
      </c>
    </row>
    <row r="14" spans="1:3" ht="24" x14ac:dyDescent="0.25">
      <c r="A14" s="2" t="s">
        <v>2</v>
      </c>
      <c r="B14" s="2" t="s">
        <v>160</v>
      </c>
      <c r="C14" s="4" t="s">
        <v>446</v>
      </c>
    </row>
    <row r="15" spans="1:3" ht="24" x14ac:dyDescent="0.25">
      <c r="A15" s="2" t="s">
        <v>2</v>
      </c>
      <c r="B15" s="2" t="s">
        <v>160</v>
      </c>
      <c r="C15" s="4" t="s">
        <v>442</v>
      </c>
    </row>
    <row r="16" spans="1:3" ht="24" x14ac:dyDescent="0.25">
      <c r="A16" s="2" t="s">
        <v>4</v>
      </c>
      <c r="B16" s="2" t="s">
        <v>305</v>
      </c>
      <c r="C16" s="4" t="s">
        <v>370</v>
      </c>
    </row>
    <row r="17" spans="1:3" ht="24" x14ac:dyDescent="0.25">
      <c r="A17" s="2" t="s">
        <v>4</v>
      </c>
      <c r="B17" s="2" t="s">
        <v>309</v>
      </c>
      <c r="C17" s="4" t="s">
        <v>371</v>
      </c>
    </row>
    <row r="18" spans="1:3" ht="24" x14ac:dyDescent="0.25">
      <c r="A18" s="2" t="s">
        <v>4</v>
      </c>
      <c r="B18" s="2" t="s">
        <v>315</v>
      </c>
      <c r="C18" s="4" t="s">
        <v>372</v>
      </c>
    </row>
    <row r="19" spans="1:3" ht="24" x14ac:dyDescent="0.25">
      <c r="A19" s="2" t="s">
        <v>4</v>
      </c>
      <c r="B19" s="2" t="s">
        <v>319</v>
      </c>
      <c r="C19" s="4" t="s">
        <v>373</v>
      </c>
    </row>
    <row r="20" spans="1:3" ht="36" x14ac:dyDescent="0.25">
      <c r="A20" s="2" t="s">
        <v>4</v>
      </c>
      <c r="B20" s="2" t="s">
        <v>323</v>
      </c>
      <c r="C20" s="4" t="s">
        <v>374</v>
      </c>
    </row>
    <row r="21" spans="1:3" ht="24" x14ac:dyDescent="0.25">
      <c r="A21" s="2" t="s">
        <v>4</v>
      </c>
      <c r="B21" s="2" t="s">
        <v>329</v>
      </c>
      <c r="C21" s="4" t="s">
        <v>375</v>
      </c>
    </row>
    <row r="22" spans="1:3" ht="24" x14ac:dyDescent="0.25">
      <c r="A22" s="2" t="s">
        <v>4</v>
      </c>
      <c r="B22" s="2" t="s">
        <v>333</v>
      </c>
      <c r="C22" s="4" t="s">
        <v>376</v>
      </c>
    </row>
    <row r="23" spans="1:3" ht="24" x14ac:dyDescent="0.25">
      <c r="A23" s="2" t="s">
        <v>4</v>
      </c>
      <c r="B23" s="2" t="s">
        <v>337</v>
      </c>
      <c r="C23" s="4" t="s">
        <v>377</v>
      </c>
    </row>
    <row r="24" spans="1:3" ht="24" x14ac:dyDescent="0.25">
      <c r="A24" s="2" t="s">
        <v>4</v>
      </c>
      <c r="B24" s="2" t="s">
        <v>378</v>
      </c>
      <c r="C24" s="4" t="s">
        <v>379</v>
      </c>
    </row>
  </sheetData>
  <hyperlinks>
    <hyperlink ref="C2" r:id="rId1" xr:uid="{00000000-0004-0000-0800-000000000000}"/>
    <hyperlink ref="C3" r:id="rId2" xr:uid="{00000000-0004-0000-0800-000001000000}"/>
    <hyperlink ref="C4" r:id="rId3" xr:uid="{00000000-0004-0000-0800-000002000000}"/>
    <hyperlink ref="C5" r:id="rId4" xr:uid="{00000000-0004-0000-0800-000003000000}"/>
    <hyperlink ref="C6" r:id="rId5" xr:uid="{00000000-0004-0000-0800-000004000000}"/>
    <hyperlink ref="C7" r:id="rId6" xr:uid="{00000000-0004-0000-0800-000005000000}"/>
    <hyperlink ref="C8" r:id="rId7" xr:uid="{00000000-0004-0000-0800-000006000000}"/>
    <hyperlink ref="C9" r:id="rId8" xr:uid="{00000000-0004-0000-0800-000007000000}"/>
    <hyperlink ref="C10" r:id="rId9" xr:uid="{00000000-0004-0000-0800-000008000000}"/>
    <hyperlink ref="C11" r:id="rId10" xr:uid="{00000000-0004-0000-0800-000009000000}"/>
    <hyperlink ref="C12" r:id="rId11" xr:uid="{00000000-0004-0000-0800-00000A000000}"/>
    <hyperlink ref="C13" r:id="rId12" xr:uid="{00000000-0004-0000-0800-00000B000000}"/>
    <hyperlink ref="C14" r:id="rId13" xr:uid="{00000000-0004-0000-0800-00000C000000}"/>
    <hyperlink ref="C15" r:id="rId14" xr:uid="{00000000-0004-0000-0800-00000D000000}"/>
    <hyperlink ref="C16" r:id="rId15" xr:uid="{00000000-0004-0000-0800-00000E000000}"/>
    <hyperlink ref="C17" r:id="rId16" xr:uid="{00000000-0004-0000-0800-00000F000000}"/>
    <hyperlink ref="C18" r:id="rId17" xr:uid="{00000000-0004-0000-0800-000010000000}"/>
    <hyperlink ref="C19" r:id="rId18" xr:uid="{00000000-0004-0000-0800-000011000000}"/>
    <hyperlink ref="C20" r:id="rId19" xr:uid="{00000000-0004-0000-0800-000012000000}"/>
    <hyperlink ref="C21" r:id="rId20" xr:uid="{00000000-0004-0000-0800-000013000000}"/>
    <hyperlink ref="C22" r:id="rId21" xr:uid="{00000000-0004-0000-0800-000014000000}"/>
    <hyperlink ref="C23" r:id="rId22" xr:uid="{00000000-0004-0000-0800-000015000000}"/>
    <hyperlink ref="C24" r:id="rId23" xr:uid="{00000000-0004-0000-0800-000016000000}"/>
  </hyperlinks>
  <pageMargins left="0.25" right="0.25" top="0.5" bottom="0.5" header="0.5" footer="0.5"/>
  <pageSetup orientation="landscape"/>
  <tableParts count="1">
    <tablePart r:id="rId24"/>
  </tableParts>
</worksheet>
</file>

<file path=docProps/app.xml><?xml version="1.0" encoding="utf-8"?>
<Properties xmlns="http://schemas.openxmlformats.org/officeDocument/2006/extended-properties" xmlns:ns1="http://schemas.openxmlformats.org/officeDocument/2006/docPropsVTypes">
  <Application>Microsoft Excel</Application>
  <DocSecurity>0</DocSecurity>
  <ScaleCrop>false</ScaleCrop>
  <HeadingPairs>
    <ns1:vector size="4" baseType="variant">
      <ns1:variant>
        <ns1:lpstr>Worksheets</ns1:lpstr>
      </ns1:variant>
      <ns1:variant>
        <ns1:i4>9</ns1:i4>
      </ns1:variant>
      <ns1:variant>
        <ns1:lpstr>Named Ranges</ns1:lpstr>
      </ns1:variant>
      <ns1:variant>
        <ns1:i4>3</ns1:i4>
      </ns1:variant>
    </ns1:vector>
  </HeadingPairs>
  <TitlesOfParts>
    <ns1:vector size="12" baseType="lpstr">
      <ns1:lpstr>00 Index</ns1:lpstr>
      <ns1:lpstr>01 Positioning Doc</ns1:lpstr>
      <ns1:lpstr>02 Use Case Doc</ns1:lpstr>
      <ns1:lpstr>03 Battlecards Doc</ns1:lpstr>
      <ns1:lpstr>04 Use Case Matrix</ns1:lpstr>
      <ns1:lpstr>05 Competitor Matrix</ns1:lpstr>
      <ns1:lpstr>06 Messaging Library</ns1:lpstr>
      <ns1:lpstr>07 Discovery and Eval</ns1:lpstr>
      <ns1:lpstr>08 Sources</ns1:lpstr>
      <ns1:lpstr>'01 Positioning Doc'!Print_Titles</ns1:lpstr>
      <ns1:lpstr>'02 Use Case Doc'!Print_Titles</ns1:lpstr>
      <ns1:lpstr>'03 Battlecards Doc'!Print_Titles</ns1:lpstr>
    </ns1: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itle>Mistral Studio - Master Positioning and Playbooks Database</dc:title>
  <dc:subject>Master positioning, use-case playbooks, messaging, and battlecards</dc:subject>
  <dc:creator>Shiv, Prospective PMM, Mistral Studio</dc:creator>
  <dc:description>Master workbook consolidating positioning, use cases, messaging, discovery, and competitive playbooks.</dc:description>
  <cp:lastModifiedBy>Shivam Singh</cp:lastModifiedBy>
  <dcterms:created xsi:type="dcterms:W3CDTF">2026-08-16T21:36:46Z</dcterms:created>
  <dcterms:modified xsi:type="dcterms:W3CDTF">2026-08-16T22:40:27Z</dcterms:modified>
  <cp:keywords>mistral-studio, positioning, playbooks, battlecards, messaging</cp:keywords>
</cp:coreProperties>
</file>