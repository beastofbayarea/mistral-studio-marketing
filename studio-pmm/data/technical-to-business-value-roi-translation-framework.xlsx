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tables/table5.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Nagarro\Downloads\mistral-studio-marketing\Data\"/>
    </mc:Choice>
  </mc:AlternateContent>
  <xr:revisionPtr revIDLastSave="0" documentId="13_ncr:1_{D691A42F-E47D-4BA9-95C0-8BB4A22C0F1A}" xr6:coauthVersionLast="47" xr6:coauthVersionMax="47" xr10:uidLastSave="{00000000-0000-0000-0000-000000000000}"/>
  <bookViews>
    <workbookView xWindow="-120" yWindow="-120" windowWidth="29040" windowHeight="15720" firstSheet="4" activeTab="8" xr2:uid="{00000000-000D-0000-FFFF-FFFF00000000}"/>
  </bookViews>
  <sheets>
    <sheet name="Cover" sheetId="1" r:id="rId1"/>
    <sheet name="Technical to Business Value" sheetId="2" r:id="rId2"/>
    <sheet name="Persona Database" sheetId="3" r:id="rId3"/>
    <sheet name="Segment Framework" sheetId="4" r:id="rId4"/>
    <sheet name="Competitive Matrix" sheetId="5" r:id="rId5"/>
    <sheet name="Battlecard Data" sheetId="6" r:id="rId6"/>
    <sheet name="Use Case Playbooks" sheetId="7" r:id="rId7"/>
    <sheet name="KPI Framework" sheetId="8" r:id="rId8"/>
    <sheet name="Assumption Register" sheetId="9" r:id="rId9"/>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7" i="5" l="1"/>
  <c r="B16" i="5"/>
  <c r="B15" i="5"/>
  <c r="B14" i="5"/>
  <c r="B13" i="5"/>
  <c r="B12" i="5"/>
  <c r="B11" i="5"/>
  <c r="B10" i="5"/>
  <c r="B9" i="5"/>
  <c r="B8" i="5"/>
  <c r="B7" i="5"/>
  <c r="B6" i="5"/>
</calcChain>
</file>

<file path=xl/sharedStrings.xml><?xml version="1.0" encoding="utf-8"?>
<sst xmlns="http://schemas.openxmlformats.org/spreadsheetml/2006/main" count="956" uniqueCount="707">
  <si>
    <t>Source</t>
  </si>
  <si>
    <t>Capability</t>
  </si>
  <si>
    <t>Technical capability</t>
  </si>
  <si>
    <t>Primary user</t>
  </si>
  <si>
    <t>Problem solved</t>
  </si>
  <si>
    <t>Technical outcome</t>
  </si>
  <si>
    <t>Business outcome</t>
  </si>
  <si>
    <t>Persona message</t>
  </si>
  <si>
    <t>Metric / KPI hint</t>
  </si>
  <si>
    <t>Evidence type</t>
  </si>
  <si>
    <t>Source URL</t>
  </si>
  <si>
    <t>Studio platform</t>
  </si>
  <si>
    <t>Single platform to build, deploy, and govern agentic AI systems with enterprise privacy/security/data ownership</t>
  </si>
  <si>
    <t>AI platform lead; CTO</t>
  </si>
  <si>
    <t>Fragmented toolchains for production AI</t>
  </si>
  <si>
    <t>Anchor launch narrative around production AI platform, not another model API</t>
  </si>
  <si>
    <t>Lower AI risk and faster enterprise approval</t>
  </si>
  <si>
    <t>For AI platform lead; CTO: Fragmented toolchains for production AI</t>
  </si>
  <si>
    <t>time to first value; active workflows; adoption; productivity</t>
  </si>
  <si>
    <t>Fact</t>
  </si>
  <si>
    <t>https://mistral.ai/products/studio/</t>
  </si>
  <si>
    <t>Build motion</t>
  </si>
  <si>
    <t>Build tab focuses on agents, workflows, and connectors</t>
  </si>
  <si>
    <t>AI engineer</t>
  </si>
  <si>
    <t>Need to compose applications from models, tools, data, and business logic</t>
  </si>
  <si>
    <t>Use the five-stage loop as launch architecture</t>
  </si>
  <si>
    <t>Higher reliability and faster productionization</t>
  </si>
  <si>
    <t>For AI engineer: Need to compose applications from models, tools, data, and business logic</t>
  </si>
  <si>
    <t>time to answer; extraction accuracy; document throughput</t>
  </si>
  <si>
    <t>Workflows</t>
  </si>
  <si>
    <t>Durable orchestration for AI workflows with state and automatic retry/resume</t>
  </si>
  <si>
    <t>AI engineer; platform engineer</t>
  </si>
  <si>
    <t>Agent workflows fail or lose state during crashes/restarts</t>
  </si>
  <si>
    <t>Differentiate on reliability for long-running enterprise processes</t>
  </si>
  <si>
    <t>For AI engineer; platform engineer: Agent workflows fail or lose state during crashes/restarts</t>
  </si>
  <si>
    <t>workflow success rate; retry recovery rate; incidents</t>
  </si>
  <si>
    <t>Workflow engine</t>
  </si>
  <si>
    <t>Coordinates steps, decisions, events, and state from seconds to years</t>
  </si>
  <si>
    <t>AI platform engineer</t>
  </si>
  <si>
    <t>Manual state machines and queues slow productionization</t>
  </si>
  <si>
    <t>Position as replacing custom retry/state/recovery infrastructure</t>
  </si>
  <si>
    <t>For AI platform engineer: Manual state machines and queues slow productionization</t>
  </si>
  <si>
    <t>https://docs.mistral.ai/studio-api/workflows/building-workflows/workflows</t>
  </si>
  <si>
    <t>Activities</t>
  </si>
  <si>
    <t>Activities execute LLM calls, HTTP, DB, file, and tool invocations with retry/backoff</t>
  </si>
  <si>
    <t>External dependencies make AI workflows brittle</t>
  </si>
  <si>
    <t>Message operational resilience for tool-heavy agents</t>
  </si>
  <si>
    <t>For AI engineer: External dependencies make AI workflows brittle</t>
  </si>
  <si>
    <t>Workflows public preview</t>
  </si>
  <si>
    <t>Production-grade AI workflows combine LLM calls, tools, external APIs, human input, scheduling, streaming, and observability</t>
  </si>
  <si>
    <t>AI engineer; platform lead</t>
  </si>
  <si>
    <t>Teams need agentic workflows but not raw infra burden</t>
  </si>
  <si>
    <t>Developer activation should center on workflow templates</t>
  </si>
  <si>
    <t>For AI engineer; platform lead: Teams need agentic workflows but not raw infra burden</t>
  </si>
  <si>
    <t>https://docs.mistral.ai/studio-api/workflows/getting-started/overview</t>
  </si>
  <si>
    <t>Temporal foundation</t>
  </si>
  <si>
    <t>Workflows are powered by Temporal</t>
  </si>
  <si>
    <t>Platform engineer</t>
  </si>
  <si>
    <t>Enterprise teams trust battle-tested orchestration patterns</t>
  </si>
  <si>
    <t>Use durability/reliability proof in technical messaging</t>
  </si>
  <si>
    <t>For Platform engineer: Enterprise teams trust battle-tested orchestration patterns</t>
  </si>
  <si>
    <t>https://mistral.ai/news/ai-studio/</t>
  </si>
  <si>
    <t>Durable agents</t>
  </si>
  <si>
    <t>Agent loop runs inside a workflow so state survives crashes/restarts</t>
  </si>
  <si>
    <t>Agents lose context or partial work after failure</t>
  </si>
  <si>
    <t>Sell agents as recoverable systems, not scripts</t>
  </si>
  <si>
    <t>For AI engineer: Agents lose context or partial work after failure</t>
  </si>
  <si>
    <t>https://docs.mistral.ai/studio-api/workflows/building-workflows/durable_agents</t>
  </si>
  <si>
    <t>Multi-agent handoffs</t>
  </si>
  <si>
    <t>Durable agents support multi-agent handoffs</t>
  </si>
  <si>
    <t>Complex workflows require specialized agents and coordination</t>
  </si>
  <si>
    <t>Create sample multi-agent reference architectures</t>
  </si>
  <si>
    <t>For AI engineer: Complex workflows require specialized agents and coordination</t>
  </si>
  <si>
    <t>MCP support</t>
  </si>
  <si>
    <t>Durable agents support MCP integration</t>
  </si>
  <si>
    <t>AI engineer; integration lead</t>
  </si>
  <si>
    <t>Tool ecosystem is fragmented and fast-moving</t>
  </si>
  <si>
    <t>Use MCP compatibility to reduce lock-in objections</t>
  </si>
  <si>
    <t>For AI engineer; integration lead: Tool ecosystem is fragmented and fast-moving</t>
  </si>
  <si>
    <t>Connectors in workflows</t>
  </si>
  <si>
    <t>Connectors let workflows call external services such as GitHub, Notion, Slack, and Outlook</t>
  </si>
  <si>
    <t>AI engineer; enterprise app owner</t>
  </si>
  <si>
    <t>Agents need secure access to enterprise systems</t>
  </si>
  <si>
    <t>Target enterprise data/workflow integration use cases</t>
  </si>
  <si>
    <t>For AI engineer; enterprise app owner: Agents need secure access to enterprise systems</t>
  </si>
  <si>
    <t>https://docs.mistral.ai/studio-api/workflows/building-workflows/connectors</t>
  </si>
  <si>
    <t>Credential resolution</t>
  </si>
  <si>
    <t>Platform resolves connector credentials at runtime</t>
  </si>
  <si>
    <t>Security; platform engineer</t>
  </si>
  <si>
    <t>Hardcoded secrets and manual OAuth create risk</t>
  </si>
  <si>
    <t>Strong governance/security talking point</t>
  </si>
  <si>
    <t>For Security; platform engineer: Hardcoded secrets and manual OAuth create risk</t>
  </si>
  <si>
    <t>security approval time; policy violations; audit completeness</t>
  </si>
  <si>
    <t>No secrets in code</t>
  </si>
  <si>
    <t>Workflow code can call connectors without embedding secrets</t>
  </si>
  <si>
    <t>Security; AI engineer</t>
  </si>
  <si>
    <t>Secrets in application code block enterprise approval</t>
  </si>
  <si>
    <t>Build security-approved developer quickstart</t>
  </si>
  <si>
    <t>For Security; AI engineer: Secrets in application code block enterprise approval</t>
  </si>
  <si>
    <t>User vs worker credentials</t>
  </si>
  <si>
    <t>Connector auth supports user/OBO credentials and worker credentials</t>
  </si>
  <si>
    <t>Security; platform lead</t>
  </si>
  <si>
    <t>Need user-scoped access and service-owned automation</t>
  </si>
  <si>
    <t>Build buying-committee proof for security teams</t>
  </si>
  <si>
    <t>For Security; platform lead: Need user-scoped access and service-owned automation</t>
  </si>
  <si>
    <t>Agents API</t>
  </si>
  <si>
    <t>Agents package model, instructions, tools, and completion arguments</t>
  </si>
  <si>
    <t>AI developer</t>
  </si>
  <si>
    <t>Repeated prompt/tool definitions are hard to reuse and govern</t>
  </si>
  <si>
    <t>Promote reusable agent assets and templates</t>
  </si>
  <si>
    <t>For AI developer: Repeated prompt/tool definitions are hard to reuse and govern</t>
  </si>
  <si>
    <t>https://docs.mistral.ai/studio-api/agents/agents-api</t>
  </si>
  <si>
    <t>Conversation state</t>
  </si>
  <si>
    <t>Conversations maintain history, events, and entries</t>
  </si>
  <si>
    <t>Users expect continuity across sessions and steps</t>
  </si>
  <si>
    <t>Support customer service, operations, and employee assistant demos</t>
  </si>
  <si>
    <t>Faster AI delivery and reuse across teams</t>
  </si>
  <si>
    <t>For AI developer: Users expect continuity across sessions and steps</t>
  </si>
  <si>
    <t>Agent tools</t>
  </si>
  <si>
    <t>Agents can use functions, web search, code interpreter, image generation, and document libraries</t>
  </si>
  <si>
    <t>Agent value depends on tool access and grounded data</t>
  </si>
  <si>
    <t>Show breadth of agent-building blocks in product tour</t>
  </si>
  <si>
    <t>Better enterprise data access and process automation</t>
  </si>
  <si>
    <t>For AI developer: Agent value depends on tool access and grounded data</t>
  </si>
  <si>
    <t>Guardrailed conversations</t>
  </si>
  <si>
    <t>Guardrails can be applied to conversations</t>
  </si>
  <si>
    <t>Security; ML engineer</t>
  </si>
  <si>
    <t>Autonomous agents need safety constraints in runtime</t>
  </si>
  <si>
    <t>Create risk-control narrative for approvers</t>
  </si>
  <si>
    <t>For Security; ML engineer: Autonomous agents need safety constraints in runtime</t>
  </si>
  <si>
    <t>Model APIs</t>
  </si>
  <si>
    <t>Core API supports chat/completions and model access</t>
  </si>
  <si>
    <t>Need programmatic model access beneath applications</t>
  </si>
  <si>
    <t>Do not position Studio as detached from model platform</t>
  </si>
  <si>
    <t>For AI engineer: Need programmatic model access beneath applications</t>
  </si>
  <si>
    <t>https://docs.mistral.ai/studio-api/overview</t>
  </si>
  <si>
    <t>Document AI</t>
  </si>
  <si>
    <t>Document intelligence capabilities are part of Studio API surface</t>
  </si>
  <si>
    <t>AI engineer; ops owner</t>
  </si>
  <si>
    <t>Many enterprise workflows are document-heavy</t>
  </si>
  <si>
    <t>Prioritize document automation demos for regulated/industrial ICPs</t>
  </si>
  <si>
    <t>For AI engineer; ops owner: Many enterprise workflows are document-heavy</t>
  </si>
  <si>
    <t>RAG &amp; embeddings</t>
  </si>
  <si>
    <t>RAG and embedding capabilities support knowledge-grounded applications</t>
  </si>
  <si>
    <t>AI engineer; ML engineer</t>
  </si>
  <si>
    <t>Enterprise agents need access to proprietary knowledge</t>
  </si>
  <si>
    <t>Bundle RAG with agent/workflow launch assets</t>
  </si>
  <si>
    <t>For AI engineer; ML engineer: Enterprise agents need access to proprietary knowledge</t>
  </si>
  <si>
    <t>Audio</t>
  </si>
  <si>
    <t>Audio capabilities are included in Studio API surface</t>
  </si>
  <si>
    <t>Multimodal workflows need speech input/output</t>
  </si>
  <si>
    <t>Use as expansion messaging, not core launch wedge</t>
  </si>
  <si>
    <t>For AI engineer: Multimodal workflows need speech input/output</t>
  </si>
  <si>
    <t>Batch processing</t>
  </si>
  <si>
    <t>Batch processing supports larger asynchronous workloads</t>
  </si>
  <si>
    <t>ML engineer; data engineer</t>
  </si>
  <si>
    <t>High-volume workloads require async processing</t>
  </si>
  <si>
    <t>Relevant for back-office/document workloads</t>
  </si>
  <si>
    <t>For ML engineer; data engineer: High-volume workloads require async processing</t>
  </si>
  <si>
    <t>Playground</t>
  </si>
  <si>
    <t>Playground lets developers test prompts, compare models, and tune parameters</t>
  </si>
  <si>
    <t>Developer; ML engineer</t>
  </si>
  <si>
    <t>Need rapid experimentation before coding</t>
  </si>
  <si>
    <t>Use as first developer CTA</t>
  </si>
  <si>
    <t>Higher model/agent quality and fewer regressions</t>
  </si>
  <si>
    <t>For Developer; ML engineer: Need rapid experimentation before coding</t>
  </si>
  <si>
    <t>API key management</t>
  </si>
  <si>
    <t>Console lets teams create and manage API keys and usage</t>
  </si>
  <si>
    <t>Developer; admin</t>
  </si>
  <si>
    <t>Access and spend need operational controls</t>
  </si>
  <si>
    <t>Field demo should show admin/developer path</t>
  </si>
  <si>
    <t>For Developer; admin: Access and spend need operational controls</t>
  </si>
  <si>
    <t>Experiments</t>
  </si>
  <si>
    <t>Studio supports experiments to compare model variations</t>
  </si>
  <si>
    <t>ML engineer</t>
  </si>
  <si>
    <t>Model and prompt changes can regress quality</t>
  </si>
  <si>
    <t>Tie iteration to release confidence</t>
  </si>
  <si>
    <t>For ML engineer: Model and prompt changes can regress quality</t>
  </si>
  <si>
    <t>eval pass rate; regression rate; release cycle time</t>
  </si>
  <si>
    <t>Campaigns</t>
  </si>
  <si>
    <t>Campaigns track what changed, improved, or broke</t>
  </si>
  <si>
    <t>ML engineer; PM</t>
  </si>
  <si>
    <t>Teams lack structured change tracking for AI releases</t>
  </si>
  <si>
    <t>Use as LLMOps/eval maturity story</t>
  </si>
  <si>
    <t>For ML engineer; PM: Teams lack structured change tracking for AI releases</t>
  </si>
  <si>
    <t>Judges</t>
  </si>
  <si>
    <t>Judges score outputs using task-relevant criteria</t>
  </si>
  <si>
    <t>ML engineer; domain expert</t>
  </si>
  <si>
    <t>Manual review does not scale for every prompt/model change</t>
  </si>
  <si>
    <t>Promote domain-specific evaluation workflows</t>
  </si>
  <si>
    <t>For ML engineer; domain expert: Manual review does not scale for every prompt/model change</t>
  </si>
  <si>
    <t>Datasets</t>
  </si>
  <si>
    <t>Datasets turn traffic and feedback into curated training/evaluation data</t>
  </si>
  <si>
    <t>ML engineer; platform lead</t>
  </si>
  <si>
    <t>Real user feedback is hard to reuse for improvement loops</t>
  </si>
  <si>
    <t>Show closed-loop improvement as key GTM theme</t>
  </si>
  <si>
    <t>For ML engineer; platform lead: Real user feedback is hard to reuse for improvement loops</t>
  </si>
  <si>
    <t>Observability pillar</t>
  </si>
  <si>
    <t>Observability covers Explorer, Judges, Campaigns/Datasets, Experiments/Iterations/Dashboards</t>
  </si>
  <si>
    <t>AI platform lead</t>
  </si>
  <si>
    <t>Production AI needs visibility into quality and regressions</t>
  </si>
  <si>
    <t>Position against point observability/eval tools</t>
  </si>
  <si>
    <t>For AI platform lead: Production AI needs visibility into quality and regressions</t>
  </si>
  <si>
    <t>OpenTelemetry</t>
  </si>
  <si>
    <t>Worker exports OpenTelemetry logs, traces, and metrics by default to Mistral hosted observability</t>
  </si>
  <si>
    <t>Platform engineer; SRE</t>
  </si>
  <si>
    <t>Teams need standard telemetry and optional own observability stack</t>
  </si>
  <si>
    <t>Reduce enterprise integration concern</t>
  </si>
  <si>
    <t>For Platform engineer; SRE: Teams need standard telemetry and optional own observability stack</t>
  </si>
  <si>
    <t>https://docs.mistral.ai/studio-api/workflows/observability</t>
  </si>
  <si>
    <t>Trace inspection</t>
  </si>
  <si>
    <t>Traces capture spans, timings, errors; APIs fetch raw trace/summary/events</t>
  </si>
  <si>
    <t>AI engineer; SRE</t>
  </si>
  <si>
    <t>Agent failures need root-cause debugging</t>
  </si>
  <si>
    <t>Use in technical demo: debug failing agent</t>
  </si>
  <si>
    <t>For AI engineer; SRE: Agent failures need root-cause debugging</t>
  </si>
  <si>
    <t>Hybrid deployment</t>
  </si>
  <si>
    <t>Studio supports hybrid, dedicated, self-hosted, and on-prem deployment options</t>
  </si>
  <si>
    <t>CTO; security; CIO</t>
  </si>
  <si>
    <t>Regulated buyers need privacy, residency, and control</t>
  </si>
  <si>
    <t>Make deployment optionality a top differentiator</t>
  </si>
  <si>
    <t>For CTO; security; CIO: Regulated buyers need privacy, residency, and control</t>
  </si>
  <si>
    <t>Data residency/control</t>
  </si>
  <si>
    <t>Deployment section emphasizes residency and control</t>
  </si>
  <si>
    <t>CIO; security</t>
  </si>
  <si>
    <t>Data location and ownership can block AI adoption</t>
  </si>
  <si>
    <t>Prioritize regulated and sovereign enterprise accounts</t>
  </si>
  <si>
    <t>For CIO; security: Data location and ownership can block AI adoption</t>
  </si>
  <si>
    <t>AI Registry</t>
  </si>
  <si>
    <t>Registry stores models, agents, prompts, skills, datasets, workflows</t>
  </si>
  <si>
    <t>AI artifacts proliferate without system of record</t>
  </si>
  <si>
    <t>Sell platform standardization and reuse</t>
  </si>
  <si>
    <t>For AI platform lead: AI artifacts proliferate without system of record</t>
  </si>
  <si>
    <t>Versioning and lineage</t>
  </si>
  <si>
    <t>Registry provides versioning and lineage</t>
  </si>
  <si>
    <t>ML engineer; governance</t>
  </si>
  <si>
    <t>Provenance is required for repeatability and audits</t>
  </si>
  <si>
    <t>Strong for compliance and release-management messaging</t>
  </si>
  <si>
    <t>For ML engineer; governance: Provenance is required for repeatability and audits</t>
  </si>
  <si>
    <t>Promotion gates/access controls</t>
  </si>
  <si>
    <t>Registry can enforce access controls, moderation, and promotion gates</t>
  </si>
  <si>
    <t>Enterprises need policy before broad AI rollout</t>
  </si>
  <si>
    <t>Create governance buyer enablement materials</t>
  </si>
  <si>
    <t>For Security; platform lead: Enterprises need policy before broad AI rollout</t>
  </si>
  <si>
    <t>Moderation API</t>
  </si>
  <si>
    <t>Moderation classifies unsafe categories including jailbreaking</t>
  </si>
  <si>
    <t>Security; trust &amp; safety</t>
  </si>
  <si>
    <t>Production LLMs require safety and abuse controls</t>
  </si>
  <si>
    <t>Include safety maturity proof for buyers</t>
  </si>
  <si>
    <t>For Security; trust &amp; safety: Production LLMs require safety and abuse controls</t>
  </si>
  <si>
    <t>https://docs.mistral.ai/studio-api/safety-moderation</t>
  </si>
  <si>
    <t>Custom guardrails</t>
  </si>
  <si>
    <t>Mistral provides custom guardrails for vertical-specific use cases</t>
  </si>
  <si>
    <t>Security; business owner</t>
  </si>
  <si>
    <t>Generic filters may not match domain risk</t>
  </si>
  <si>
    <t>Package industry-specific risk examples</t>
  </si>
  <si>
    <t>For Security; business owner: Generic filters may not match domain risk</t>
  </si>
  <si>
    <t>Workspace scoping</t>
  </si>
  <si>
    <t>Workspace scopes API keys, Playground, agents, batches, Document AI, workflows, observability, prompts/skills/files/libraries/connectors</t>
  </si>
  <si>
    <t>Admin; platform lead</t>
  </si>
  <si>
    <t>Large orgs need tenant/team-level control</t>
  </si>
  <si>
    <t>Use for enterprise org design and governance demos</t>
  </si>
  <si>
    <t>For Admin; platform lead: Large orgs need tenant/team-level control</t>
  </si>
  <si>
    <t>https://docs.mistral.ai/fr/admin/workspaces/workspaces-in-studio</t>
  </si>
  <si>
    <t>Workspace API keys</t>
  </si>
  <si>
    <t>Admins can allow/prevent users creating API keys and use workspace quota/limits/resources</t>
  </si>
  <si>
    <t>Admin; security</t>
  </si>
  <si>
    <t>Uncontrolled API keys create spend and policy risk</t>
  </si>
  <si>
    <t>Show governance from day one</t>
  </si>
  <si>
    <t>For Admin; security: Uncontrolled API keys create spend and policy risk</t>
  </si>
  <si>
    <t>Services/support</t>
  </si>
  <si>
    <t>Studio page points to docs, examples, support, services, sales CTAs</t>
  </si>
  <si>
    <t>Developer; enterprise buyer</t>
  </si>
  <si>
    <t>Different buyers need self-serve and sales-led paths</t>
  </si>
  <si>
    <t>Build dual developer + enterprise launch funnel</t>
  </si>
  <si>
    <t>For Developer; enterprise buyer: Different buyers need self-serve and sales-led paths</t>
  </si>
  <si>
    <t>Private beta launch status</t>
  </si>
  <si>
    <t>Original announcement positioned Studio as private beta</t>
  </si>
  <si>
    <t>Enterprise buyer; design partner</t>
  </si>
  <si>
    <t>Internal rollout stage affects urgency and messaging</t>
  </si>
  <si>
    <t>Validate current GA/beta status internally before launch claims</t>
  </si>
  <si>
    <t>For Enterprise buyer; design partner: Internal rollout stage affects urgency and messaging</t>
  </si>
  <si>
    <t>Persona</t>
  </si>
  <si>
    <t>Role in journey</t>
  </si>
  <si>
    <t>Jobs to be done</t>
  </si>
  <si>
    <t>Current solution</t>
  </si>
  <si>
    <t>Pain</t>
  </si>
  <si>
    <t>Trigger</t>
  </si>
  <si>
    <t>Desired outcome</t>
  </si>
  <si>
    <t>Objections</t>
  </si>
  <si>
    <t>Technical requirements</t>
  </si>
  <si>
    <t>Business requirements</t>
  </si>
  <si>
    <t>Evidence needed / CTA</t>
  </si>
  <si>
    <t>AI Engineer</t>
  </si>
  <si>
    <t>Build agents/workflows quickly with tools/data access</t>
  </si>
  <si>
    <t>SDK scripts, LangChain/LangGraph, custom APIs</t>
  </si>
  <si>
    <t>Brittle integrations; secrets/OAuth; debugging tool calls</t>
  </si>
  <si>
    <t>Mandate to ship agent into production</t>
  </si>
  <si>
    <t>Reliable reusable agent workflows</t>
  </si>
  <si>
    <t>Vendor lock-in; immature beta features; docs gaps</t>
  </si>
  <si>
    <t>SDKs, connectors, MCP, tracing, retries, examples</t>
  </si>
  <si>
    <t>Time-to-first-working-agent; production readiness</t>
  </si>
  <si>
    <t>Quickstart, templates, Playground, docs</t>
  </si>
  <si>
    <t>ML Engineer / Applied Scientist</t>
  </si>
  <si>
    <t>Improve model/prompt/agent quality with eval loops</t>
  </si>
  <si>
    <t>Manual evals, notebooks, ad hoc dashboards</t>
  </si>
  <si>
    <t>Regressions after model or prompt changes; weak feedback data</t>
  </si>
  <si>
    <t>Quality incident or scaling from pilot to users</t>
  </si>
  <si>
    <t>Repeatable evals, judges, datasets, experiments</t>
  </si>
  <si>
    <t>Evaluator trust; domain specificity; data quality</t>
  </si>
  <si>
    <t>Judges, campaigns, datasets, dashboards, versioning</t>
  </si>
  <si>
    <t>Fewer regressions; quality lift; faster release cycles</t>
  </si>
  <si>
    <t>Eval benchmark kit, experiment guide, judge templates</t>
  </si>
  <si>
    <t>AI Platform Lead</t>
  </si>
  <si>
    <t>Champion</t>
  </si>
  <si>
    <t>Standardize AI development across teams</t>
  </si>
  <si>
    <t>Internal platform, cloud primitives, multiple vendors</t>
  </si>
  <si>
    <t>Duplication, inconsistent governance, support burden</t>
  </si>
  <si>
    <t>Many teams building agents independently</t>
  </si>
  <si>
    <t>Shared platform and reusable registry</t>
  </si>
  <si>
    <t>Migration effort; platform fit; roadmap certainty</t>
  </si>
  <si>
    <t>Registry, workspaces, observability, deployment options</t>
  </si>
  <si>
    <t>Reuse, lower platform toil, standardized controls</t>
  </si>
  <si>
    <t>Architecture workshop, platform reference design</t>
  </si>
  <si>
    <t>CTO / VP Engineering</t>
  </si>
  <si>
    <t>Economic + technical buyer</t>
  </si>
  <si>
    <t>Move high-impact AI from prototypes to governed systems</t>
  </si>
  <si>
    <t>Internal infra, hyperscaler platforms, OpenAI/Anthropic APIs</t>
  </si>
  <si>
    <t>Pilots not scaling; risk of vendor lock-in; reliability concerns</t>
  </si>
  <si>
    <t>Board/business pressure to show AI ROI</t>
  </si>
  <si>
    <t>Faster production with controlled architecture</t>
  </si>
  <si>
    <t>Commercial maturity; total cost; integration risk</t>
  </si>
  <si>
    <t>Durability, deployment choice, security, customer proof</t>
  </si>
  <si>
    <t>Production use cases live; engineering velocity; risk reduction</t>
  </si>
  <si>
    <t>Executive briefing, ROI/business-case deck</t>
  </si>
  <si>
    <t>CIO / CDO</t>
  </si>
  <si>
    <t>Executive buyer</t>
  </si>
  <si>
    <t>Enterprise AI transformation with secure data use</t>
  </si>
  <si>
    <t>Enterprise apps + cloud AI services</t>
  </si>
  <si>
    <t>Data silos, governance, procurement and adoption risk</t>
  </si>
  <si>
    <t>AI program needs repeatable enterprise rollout</t>
  </si>
  <si>
    <t>Governed platform for enterprise-scale AI</t>
  </si>
  <si>
    <t>Change management; compliance; value realization</t>
  </si>
  <si>
    <t>Workspaces, registry, deployment residency, customer stories</t>
  </si>
  <si>
    <t>Adoption, productivity, governed rollout velocity</t>
  </si>
  <si>
    <t>Transformation workshop, customer story pack</t>
  </si>
  <si>
    <t>Security / Governance / Risk</t>
  </si>
  <si>
    <t>Blocker / approver</t>
  </si>
  <si>
    <t>Control data, identity, access, safety, auditability</t>
  </si>
  <si>
    <t>Security review checklists, bespoke controls</t>
  </si>
  <si>
    <t>Unclear data flow, secrets, policy enforcement, audit trail</t>
  </si>
  <si>
    <t>Security review for production AI</t>
  </si>
  <si>
    <t>Least-privilege, traceability, moderation, residency</t>
  </si>
  <si>
    <t>Data handling, isolation, logging, access controls, compliance</t>
  </si>
  <si>
    <t>No secrets in code, OBO credentials, guardrails, logs, lineage</t>
  </si>
  <si>
    <t>Approved architecture and risk controls</t>
  </si>
  <si>
    <t>Security whitepaper, deployment/control demo</t>
  </si>
  <si>
    <t>Line-of-Business Owner</t>
  </si>
  <si>
    <t>Champion / budget influencer</t>
  </si>
  <si>
    <t>Automate document-heavy or operations-heavy workflows</t>
  </si>
  <si>
    <t>Manual ops, RPA, copilots, ticket/document systems</t>
  </si>
  <si>
    <t>Cycle time, quality, employee productivity bottlenecks</t>
  </si>
  <si>
    <t>Backlog of AI use cases with visible ROI</t>
  </si>
  <si>
    <t>Faster turnaround, better accuracy, easier knowledge access</t>
  </si>
  <si>
    <t>Trust, adoption, integration with existing workflows</t>
  </si>
  <si>
    <t>Customer stories, workflow demos, before/after metrics</t>
  </si>
  <si>
    <t>Productivity, quality, customer experience</t>
  </si>
  <si>
    <t>Use-case workshop, demo, pilot success plan</t>
  </si>
  <si>
    <t>Segment</t>
  </si>
  <si>
    <t>Buying center</t>
  </si>
  <si>
    <t>Core pains</t>
  </si>
  <si>
    <t>Priority use cases</t>
  </si>
  <si>
    <t>Proof points</t>
  </si>
  <si>
    <t>Recommended CTA</t>
  </si>
  <si>
    <t>Regulated financial services</t>
  </si>
  <si>
    <t>CIO/CDO; Security; Platform Lead</t>
  </si>
  <si>
    <t>Data control, governance, auditability, employee AI, evaluation confidence</t>
  </si>
  <si>
    <t>Secure employee copilots, governed knowledge agents, eval factory</t>
  </si>
  <si>
    <t>AXA, HSBC</t>
  </si>
  <si>
    <t>Executive briefing + security whitepaper + readiness assessment</t>
  </si>
  <si>
    <t>Industrial / manufacturing</t>
  </si>
  <si>
    <t>CTO; Engineering; Operations</t>
  </si>
  <si>
    <t>Reliability, root-cause diagnostics, domain knowledge, on-prem/control</t>
  </si>
  <si>
    <t>Engineering diagnostics, industrial knowledge assistant, technical docs automation</t>
  </si>
  <si>
    <t>ASML, Airbus, Stellantis</t>
  </si>
  <si>
    <t>Industry playbook + architecture workshop</t>
  </si>
  <si>
    <t>Transportation / logistics</t>
  </si>
  <si>
    <t>Operations; CIO; LOB owner</t>
  </si>
  <si>
    <t>Document-heavy workflows, global operations, process exceptions</t>
  </si>
  <si>
    <t>Cargo/document workflows, customer information agents, operations copilots</t>
  </si>
  <si>
    <t>CMA CGM, SNCF</t>
  </si>
  <si>
    <t>Use-case demo + ROI worksheet</t>
  </si>
  <si>
    <t>Public sector / sovereignty-sensitive</t>
  </si>
  <si>
    <t>CIO; procurement; risk</t>
  </si>
  <si>
    <t>Residency, sovereignty, accuracy, scale, audit</t>
  </si>
  <si>
    <t>Document AI, controlled AI engine, translation/transcription workflows</t>
  </si>
  <si>
    <t>European Patent Office</t>
  </si>
  <si>
    <t>Compliance-centered solution brief</t>
  </si>
  <si>
    <t>Technology / enterprise GTM operations</t>
  </si>
  <si>
    <t>Sales Ops; Platform Lead; CTO</t>
  </si>
  <si>
    <t>Data-rich workflows, productivity, proposal automation, integration</t>
  </si>
  <si>
    <t>Renewal proposal agent, developer support, platform standardization</t>
  </si>
  <si>
    <t>Cisco</t>
  </si>
  <si>
    <t>Sales deck + workflow proof-of-concept</t>
  </si>
  <si>
    <t>Prosumer / developer teams</t>
  </si>
  <si>
    <t>AI Engineer; ML Engineer</t>
  </si>
  <si>
    <t>Speed, docs, APIs, examples, evaluation and debugging</t>
  </si>
  <si>
    <t>Agent quickstarts, workflow templates, eval guides</t>
  </si>
  <si>
    <t>Docs evidence</t>
  </si>
  <si>
    <t>Self-serve tutorials + templates</t>
  </si>
  <si>
    <t>Alternative</t>
  </si>
  <si>
    <t>Average score</t>
  </si>
  <si>
    <t>Frontier model access</t>
  </si>
  <si>
    <t>Open/portable model posture</t>
  </si>
  <si>
    <t>Durable agent runtime</t>
  </si>
  <si>
    <t>Workflow orchestration</t>
  </si>
  <si>
    <t>Evals/judges</t>
  </si>
  <si>
    <t>Tracing/observability</t>
  </si>
  <si>
    <t>Registry/versioning</t>
  </si>
  <si>
    <t>Enterprise connectors/identity</t>
  </si>
  <si>
    <t>Guardrails/moderation</t>
  </si>
  <si>
    <t>Hybrid/self-host/on-prem</t>
  </si>
  <si>
    <t>Developer UX/docs</t>
  </si>
  <si>
    <t>Governance gates</t>
  </si>
  <si>
    <t>Cloud/ecosystem breadth</t>
  </si>
  <si>
    <t>Commercial maturity</t>
  </si>
  <si>
    <t>Sovereignty positioning</t>
  </si>
  <si>
    <t>Best-fit buyer</t>
  </si>
  <si>
    <t>Mistral Studio</t>
  </si>
  <si>
    <t>Enterprise AI platform teams needing production discipline, control, and model optionality</t>
  </si>
  <si>
    <t>OpenAI Responses + Agents SDK</t>
  </si>
  <si>
    <t>Developers optimizing for OpenAI model quality and speed</t>
  </si>
  <si>
    <t>https://openai.com/index/new-tools-for-building-agents/</t>
  </si>
  <si>
    <t>Anthropic Claude Platform</t>
  </si>
  <si>
    <t>Enterprises standardizing on Claude and tool/MCP workflows</t>
  </si>
  <si>
    <t>https://docs.anthropic.com/en/docs/agents-and-tools/tool-use/tool-runner-sdk</t>
  </si>
  <si>
    <t>Google Vertex AI / Gemini Enterprise</t>
  </si>
  <si>
    <t>Google Cloud customers and Workspace-heavy enterprises</t>
  </si>
  <si>
    <t>https://docs.cloud.google.com/vertex-ai/generative-ai/docs/agent-engine/evaluate</t>
  </si>
  <si>
    <t>Microsoft Azure AI Foundry / Copilot Studio</t>
  </si>
  <si>
    <t>Microsoft/Azure/M365-centric enterprises</t>
  </si>
  <si>
    <t>https://azure.microsoft.com/en-us/products/ai-foundry</t>
  </si>
  <si>
    <t>Amazon Bedrock AgentCore</t>
  </si>
  <si>
    <t>AWS-heavy enterprises needing agent runtime/security/observability</t>
  </si>
  <si>
    <t>https://aws.amazon.com/about-aws/whats-new/2026/05/bedrock-agentcore-launch-aws-govcloud-us/</t>
  </si>
  <si>
    <t>LangSmith / LangGraph</t>
  </si>
  <si>
    <t>Engineering teams with framework-first agent stacks</t>
  </si>
  <si>
    <t>https://www.langchain.com/langsmith-platform</t>
  </si>
  <si>
    <t>LlamaIndex / LlamaCloud</t>
  </si>
  <si>
    <t>Teams building RAG/data-centric agent applications</t>
  </si>
  <si>
    <t>https://docs.llamaindex.ai/en/v0.10.33/understanding/loading/llamahub/</t>
  </si>
  <si>
    <t>DIY open-source stack</t>
  </si>
  <si>
    <t>Highly specialized teams prioritizing maximum control over speed</t>
  </si>
  <si>
    <t>https://langchain-ai.github.io/langgraph/concepts/persistence/</t>
  </si>
  <si>
    <t>Legacy RPA / workflow automation</t>
  </si>
  <si>
    <t>Business automation teams with deterministic workflows</t>
  </si>
  <si>
    <t>Point observability/eval tools</t>
  </si>
  <si>
    <t>Teams filling eval/monitoring gaps without replacing runtime</t>
  </si>
  <si>
    <t>Internal enterprise AI platform</t>
  </si>
  <si>
    <t>Large enterprises with strong platform engineering capacity</t>
  </si>
  <si>
    <t>Likely strength</t>
  </si>
  <si>
    <t>Mistral wedge</t>
  </si>
  <si>
    <t>Qualifying question</t>
  </si>
  <si>
    <t>Frontier model access, Developer UX/docs, Commercial maturity</t>
  </si>
  <si>
    <t>Reframe around governed production-agent lifecycle; qualify gaps in Open/portable model posture, Hybrid/self-host/on-prem, Sovereignty positioning.</t>
  </si>
  <si>
    <t>What must be true for this to run safely in production?</t>
  </si>
  <si>
    <t>Reframe around governed production-agent lifecycle; qualify gaps in Open/portable model posture, Registry/versioning, Hybrid/self-host/on-prem.</t>
  </si>
  <si>
    <t>Frontier model access, Enterprise connectors/identity, Cloud/ecosystem breadth</t>
  </si>
  <si>
    <t>Frontier model access, Workflow orchestration, Tracing/observability</t>
  </si>
  <si>
    <t>Frontier model access, Durable agent runtime, Evals/judges</t>
  </si>
  <si>
    <t>Reframe around governed production-agent lifecycle; qualify gaps in Hybrid/self-host/on-prem, Sovereignty positioning, Open/portable model posture.</t>
  </si>
  <si>
    <t>Open/portable model posture, Durable agent runtime, Workflow orchestration</t>
  </si>
  <si>
    <t>Reframe around governed production-agent lifecycle; qualify gaps in Frontier model access, Enterprise connectors/identity, Guardrails/moderation.</t>
  </si>
  <si>
    <t>Open/portable model posture, Enterprise connectors/identity, Developer UX/docs</t>
  </si>
  <si>
    <t>Reframe around governed production-agent lifecycle; qualify gaps in Guardrails/moderation, Governance gates, Frontier model access.</t>
  </si>
  <si>
    <t>Open/portable model posture, Hybrid/self-host/on-prem, Data residency/control</t>
  </si>
  <si>
    <t>Reframe around governed production-agent lifecycle; qualify gaps in Registry/versioning, Guardrails/moderation, Governance gates.</t>
  </si>
  <si>
    <t>Workflow orchestration, Enterprise connectors/identity, Cloud/ecosystem breadth</t>
  </si>
  <si>
    <t>Reframe around governed production-agent lifecycle; qualify gaps in Frontier model access, Evals/judges, Open/portable model posture.</t>
  </si>
  <si>
    <t>Evals/judges, Tracing/observability, Open/portable model posture</t>
  </si>
  <si>
    <t>Reframe around governed production-agent lifecycle; qualify gaps in Durable agent runtime, Workflow orchestration, Frontier model access.</t>
  </si>
  <si>
    <t>Hybrid/self-host/on-prem, Data residency/control, Open/portable model posture</t>
  </si>
  <si>
    <t>Reframe around governed production-agent lifecycle; qualify gaps in Developer UX/docs, Cloud/ecosystem breadth, Commercial maturity.</t>
  </si>
  <si>
    <t>Use case</t>
  </si>
  <si>
    <t>Buyer</t>
  </si>
  <si>
    <t>Studio narrative</t>
  </si>
  <si>
    <t>Capabilities</t>
  </si>
  <si>
    <t>Metrics</t>
  </si>
  <si>
    <t>Durable customer operations agent</t>
  </si>
  <si>
    <t>Customer support / operations</t>
  </si>
  <si>
    <t>Customer or employee requests span documents, systems and approvals.</t>
  </si>
  <si>
    <t>Automate multi-step responses with agents, workflows, connectors and stateful retry/resume.</t>
  </si>
  <si>
    <t>Workflows; Agents; Connectors; Observability; Guardrails</t>
  </si>
  <si>
    <t>Cycle time, containment, error rate, escalation rate</t>
  </si>
  <si>
    <t>CMA CGM, Cisco, SNCF</t>
  </si>
  <si>
    <t>Enterprise knowledge/RAG assistant</t>
  </si>
  <si>
    <t>CIO / CDO, platform lead</t>
  </si>
  <si>
    <t>Knowledge is distributed across docs, systems and expert teams.</t>
  </si>
  <si>
    <t>Build a governed retrieval-augmented agent with workspace controls and traceability.</t>
  </si>
  <si>
    <t>RAG; Connectors; Workspaces; Registry; Moderation</t>
  </si>
  <si>
    <t>Search success, time saved, adoption, answer quality</t>
  </si>
  <si>
    <t>Veolia, AXA, HSBC</t>
  </si>
  <si>
    <t>Document AI extraction and review</t>
  </si>
  <si>
    <t>Operations, public sector, legal/IP</t>
  </si>
  <si>
    <t>High-volume document workflows are slow and error-prone.</t>
  </si>
  <si>
    <t>Use document AI + workflows to extract, validate, route and audit information.</t>
  </si>
  <si>
    <t>Document AI; Workflows; Evals; Tracing</t>
  </si>
  <si>
    <t>Throughput, character/error rate, lead time, audit completeness</t>
  </si>
  <si>
    <t>European Patent Office, CMA CGM</t>
  </si>
  <si>
    <t>Sales proposal / renewal agent</t>
  </si>
  <si>
    <t>Sales Ops, RevOps, GTM leadership</t>
  </si>
  <si>
    <t>Proposals require structured and unstructured account data across systems.</t>
  </si>
  <si>
    <t>Generate governed proposal drafts using connectors, workflows and eval checks.</t>
  </si>
  <si>
    <t>Agents; Connectors; Workflows; Evals; Guardrails</t>
  </si>
  <si>
    <t>Time to proposal, seller productivity, CSAT, win-rate lift</t>
  </si>
  <si>
    <t>Engineering diagnostics and root-cause assistant</t>
  </si>
  <si>
    <t>Engineering, manufacturing, platform teams</t>
  </si>
  <si>
    <t>Logs, docs and incidents are hard to connect quickly.</t>
  </si>
  <si>
    <t>Use an agentic diagnostic workflow with retrieval, traces and iterative reasoning.</t>
  </si>
  <si>
    <t>RAG; Agents; Workflows; Observability</t>
  </si>
  <si>
    <t>MTTR, issue detection, root-cause accuracy, engineering hours saved</t>
  </si>
  <si>
    <t>ASML, Stellantis</t>
  </si>
  <si>
    <t>Regulated employee copilot</t>
  </si>
  <si>
    <t>CIO, CDO, risk/security</t>
  </si>
  <si>
    <t>Employees need AI help but security, data and governance cannot be compromised.</t>
  </si>
  <si>
    <t>Deploy a controlled assistant with workspaces, guardrails, deployment controls and monitoring.</t>
  </si>
  <si>
    <t>Workspaces; Guardrails; Deployment options; Registry</t>
  </si>
  <si>
    <t>Adoption, policy violations, productivity, approval cycle time</t>
  </si>
  <si>
    <t>AXA, HSBC, Airbus</t>
  </si>
  <si>
    <t>Logistics / operations workflow automation</t>
  </si>
  <si>
    <t>Supply chain, transport, operations</t>
  </si>
  <si>
    <t>Processes cross documents, schedules, systems and exception handling.</t>
  </si>
  <si>
    <t>Orchestrate agents and workflows to handle exceptions and support decisions.</t>
  </si>
  <si>
    <t>Workflows; Connectors; Agents; Observability</t>
  </si>
  <si>
    <t>Turnaround time, exception backlog, manual touches, quality</t>
  </si>
  <si>
    <t>Developer platform standardization</t>
  </si>
  <si>
    <t>AI platform lead, CTO</t>
  </si>
  <si>
    <t>Teams build fragmented AI stacks and duplicate operational infrastructure.</t>
  </si>
  <si>
    <t>Create a shared Studio operating model for reusable agents, workflows, registry and governance.</t>
  </si>
  <si>
    <t>Registry; Workspaces; API management; Observability; Deployment options</t>
  </si>
  <si>
    <t>Reuse, platform toil, time to production, policy compliance</t>
  </si>
  <si>
    <t>Mistral Studio product/docs evidence</t>
  </si>
  <si>
    <t>Evaluation and quality factory</t>
  </si>
  <si>
    <t>ML engineering, platform lead</t>
  </si>
  <si>
    <t>Teams cannot confidently compare model/prompt/agent changes.</t>
  </si>
  <si>
    <t>Standardize evals, judges, experiments, datasets and feedback loops.</t>
  </si>
  <si>
    <t>Evals; Judges; Datasets; Campaigns; Dashboards</t>
  </si>
  <si>
    <t>Regression rate, release velocity, quality score, evaluation coverage</t>
  </si>
  <si>
    <t>Launch blog / Studio iteration capabilities</t>
  </si>
  <si>
    <t>Industrial knowledge and field assistant</t>
  </si>
  <si>
    <t>Manufacturing, utilities, field operations</t>
  </si>
  <si>
    <t>Specialized operational knowledge is hard to access reliably at the point of work.</t>
  </si>
  <si>
    <t>Deploy governed agents for technical docs, asset knowledge and troubleshooting.</t>
  </si>
  <si>
    <t>RAG; Document AI; Workflows; Connectors; Guardrails</t>
  </si>
  <si>
    <t>Downtime, safety incidents, first-time fix rate, employee productivity</t>
  </si>
  <si>
    <t>ASML, Veolia, Stellantis</t>
  </si>
  <si>
    <t>Funnel area</t>
  </si>
  <si>
    <t>KPI</t>
  </si>
  <si>
    <t>Definition</t>
  </si>
  <si>
    <t>Cadence</t>
  </si>
  <si>
    <t>Likely source</t>
  </si>
  <si>
    <t>Notes</t>
  </si>
  <si>
    <t>Awareness</t>
  </si>
  <si>
    <t>Target-account reach</t>
  </si>
  <si>
    <t>Unique target-account visitors to Studio page and launch assets</t>
  </si>
  <si>
    <t>Weekly</t>
  </si>
  <si>
    <t>Marketing ops / web analytics</t>
  </si>
  <si>
    <t>Segment by ICP account list</t>
  </si>
  <si>
    <t>Content engagement</t>
  </si>
  <si>
    <t>Time on page, scroll depth, demo views, guide downloads</t>
  </si>
  <si>
    <t>Web analytics</t>
  </si>
  <si>
    <t>Separate developer and buyer assets</t>
  </si>
  <si>
    <t>Activation</t>
  </si>
  <si>
    <t>Developer signups</t>
  </si>
  <si>
    <t>New Studio accounts/API keys/workspaces created</t>
  </si>
  <si>
    <t>Daily/weekly</t>
  </si>
  <si>
    <t>Product analytics</t>
  </si>
  <si>
    <t>Track by source campaign</t>
  </si>
  <si>
    <t>Time to first workflow</t>
  </si>
  <si>
    <t>Median time from signup to first successful workflow run</t>
  </si>
  <si>
    <t>Product telemetry</t>
  </si>
  <si>
    <t>Best leading indicator for developer GTM</t>
  </si>
  <si>
    <t>Template starts</t>
  </si>
  <si>
    <t>Starts from launch templates by use case</t>
  </si>
  <si>
    <t>Template performance guides content roadmap</t>
  </si>
  <si>
    <t>Adoption</t>
  </si>
  <si>
    <t>Workflow runs</t>
  </si>
  <si>
    <t>Successful workflow executions, retry/resume events, active workflows</t>
  </si>
  <si>
    <t>Use reliability proof with care</t>
  </si>
  <si>
    <t>Agents created</t>
  </si>
  <si>
    <t>Agents created, conversations, tool calls, connector use</t>
  </si>
  <si>
    <t>Separate experiments from production-like usage</t>
  </si>
  <si>
    <t>Evaluation usage</t>
  </si>
  <si>
    <t>Judges, campaigns, datasets, experiments created</t>
  </si>
  <si>
    <t>Measures iterate loop adoption</t>
  </si>
  <si>
    <t>Observability usage</t>
  </si>
  <si>
    <t>Trace views, trace API calls, dashboard usage</t>
  </si>
  <si>
    <t>Shows production debugging behavior</t>
  </si>
  <si>
    <t>Enterprise intent</t>
  </si>
  <si>
    <t>Contact-sales conversion</t>
  </si>
  <si>
    <t>Demo/architecture-assessment requests from ICP accounts</t>
  </si>
  <si>
    <t>CRM + web</t>
  </si>
  <si>
    <t>Core pipeline leading indicator</t>
  </si>
  <si>
    <t>Pipeline</t>
  </si>
  <si>
    <t>Qualified opportunities</t>
  </si>
  <si>
    <t>Studio-influenced SQLs and pipeline value</t>
  </si>
  <si>
    <t>Weekly/monthly</t>
  </si>
  <si>
    <t>CRM</t>
  </si>
  <si>
    <t>Internal target required</t>
  </si>
  <si>
    <t>POV starts</t>
  </si>
  <si>
    <t>Number of paid/free POVs launched by segment</t>
  </si>
  <si>
    <t>CRM + CS</t>
  </si>
  <si>
    <t>Track proof-of-value stage conversion</t>
  </si>
  <si>
    <t>Conversion</t>
  </si>
  <si>
    <t>POV-to-contract conversion</t>
  </si>
  <si>
    <t>Share of POVs converting to production contract</t>
  </si>
  <si>
    <t>Monthly/quarterly</t>
  </si>
  <si>
    <t>Requires commercial packaging clarity</t>
  </si>
  <si>
    <t>Expansion</t>
  </si>
  <si>
    <t>Workspaces per account</t>
  </si>
  <si>
    <t>Number of workspaces and active teams in enterprise accounts</t>
  </si>
  <si>
    <t>Monthly</t>
  </si>
  <si>
    <t>Proxy for platform standardization</t>
  </si>
  <si>
    <t>Production workloads</t>
  </si>
  <si>
    <t>Workloads meeting production criteria</t>
  </si>
  <si>
    <t>Product + CS</t>
  </si>
  <si>
    <t>Define production threshold internally</t>
  </si>
  <si>
    <t>Retention</t>
  </si>
  <si>
    <t>Reliability/quality trend</t>
  </si>
  <si>
    <t>Error rate, retries recovered, eval score trend, feedback score trend</t>
  </si>
  <si>
    <t>Tie to customer value stories</t>
  </si>
  <si>
    <t>Enablement</t>
  </si>
  <si>
    <t>Field readiness</t>
  </si>
  <si>
    <t>Rep completion, demo certification, battlecard usage</t>
  </si>
  <si>
    <t>Weekly during launch</t>
  </si>
  <si>
    <t>Enablement analytics</t>
  </si>
  <si>
    <t>Leading indicator for sales-led motion</t>
  </si>
  <si>
    <t>Proof</t>
  </si>
  <si>
    <t>Customer proof created</t>
  </si>
  <si>
    <t>Number of Studio-specific references/case studies</t>
  </si>
  <si>
    <t>Quarterly</t>
  </si>
  <si>
    <t>PMM/Customer marketing</t>
  </si>
  <si>
    <t>Key post-launch objective</t>
  </si>
  <si>
    <t>Assumption</t>
  </si>
  <si>
    <t>Why it matters</t>
  </si>
  <si>
    <t>Validation owner</t>
  </si>
  <si>
    <t>Status</t>
  </si>
  <si>
    <t>Studio current launch tier / availability</t>
  </si>
  <si>
    <t>Controls external copy and field promise</t>
  </si>
  <si>
    <t>Product / PMM</t>
  </si>
  <si>
    <t>Needs validation</t>
  </si>
  <si>
    <t>Pricing and packaging</t>
  </si>
  <si>
    <t>Required for sales deck and battlecards</t>
  </si>
  <si>
    <t>Product / RevOps</t>
  </si>
  <si>
    <t>Customer referenceability for Studio</t>
  </si>
  <si>
    <t>Required before publishing proof points</t>
  </si>
  <si>
    <t>Comms / Legal / Sales</t>
  </si>
  <si>
    <t>Security/compliance claims</t>
  </si>
  <si>
    <t>Required for enterprise security assets</t>
  </si>
  <si>
    <t>Security / Legal</t>
  </si>
  <si>
    <t>Usage telemetry and activation baselines</t>
  </si>
  <si>
    <t>Required for KPI dashboard</t>
  </si>
  <si>
    <t>Pipeline and revenue targets</t>
  </si>
  <si>
    <t>Required for launch scorecard</t>
  </si>
  <si>
    <t>GTM leadership</t>
  </si>
  <si>
    <t>Mistral Studio PMM Framework</t>
  </si>
  <si>
    <t>Operational workspace for positioning, segmentation, competitive strategy, launch readiness, and KPI planning</t>
  </si>
  <si>
    <t>WORKBOOK CONTENTS</t>
  </si>
  <si>
    <t>PURPOSE</t>
  </si>
  <si>
    <t>Technical to Business Value</t>
  </si>
  <si>
    <t>Translate Studio capabilities into user, technical, and business outcomes.</t>
  </si>
  <si>
    <t>Persona Database</t>
  </si>
  <si>
    <t>Map buying roles, jobs, pains, requirements, objections, and evidence needs.</t>
  </si>
  <si>
    <t>Segment Framework</t>
  </si>
  <si>
    <t>Prioritize industry segments, use cases, proof points, and calls to action.</t>
  </si>
  <si>
    <t>Competitive Matrix</t>
  </si>
  <si>
    <t>Compare alternatives across 16 weighted product and go-to-market criteria.</t>
  </si>
  <si>
    <t>Battlecard Data</t>
  </si>
  <si>
    <t>Equip field teams with competitor strengths, Mistral wedges, and qualifying questions.</t>
  </si>
  <si>
    <t>Use Case Playbooks</t>
  </si>
  <si>
    <t>Package repeatable Studio narratives, capabilities, metrics, and proof points.</t>
  </si>
  <si>
    <t>KPI Framework</t>
  </si>
  <si>
    <t>Define launch and adoption metrics, cadence, source systems, and operating notes.</t>
  </si>
  <si>
    <t>Assumption Register</t>
  </si>
  <si>
    <t>Track unresolved launch assumptions, validation ownership, and status.</t>
  </si>
  <si>
    <t>WORKBOOK GOVERNANCE</t>
  </si>
  <si>
    <t>Built from mistral_studio_gtm_fact_base.xlsx</t>
  </si>
  <si>
    <t>Publication gate</t>
  </si>
  <si>
    <t>Validate customer, telemetry, pricing, security, availability, and revenue assumptions before external use.</t>
  </si>
  <si>
    <t>STORY IN BRIEF</t>
  </si>
  <si>
    <t>This workbook connects product capabilities to buyer value, competitive differentiation, repeatable use cases, and measurable launch outcomes. Use the persona and segment views to select the audience, the value and battlecard views to shape the message, and the KPI and assumption views to govern launch execution. The current framework is publication-ready in structure, but customer proof, telemetry baselines, pricing, security claims, availability, and revenue targets remain explicit validation gates.</t>
  </si>
  <si>
    <t>Capability-to-outcome translation for launch messaging, persona value, KPIs, and evidence.</t>
  </si>
  <si>
    <t>VALUE TRANSLATION DATABASE</t>
  </si>
  <si>
    <t>Buyer and user roles across the Studio evaluation, approval, adoption, and expansion journey.</t>
  </si>
  <si>
    <t>PERSONA DATABASE</t>
  </si>
  <si>
    <t>Priority segments, buying centers, pains, use cases, proof, and recommended conversion motion.</t>
  </si>
  <si>
    <t>SEGMENT PRIORITIZATION</t>
  </si>
  <si>
    <t>Directional 1–5 comparison across product, deployment, governance, ecosystem, and commercial criteria.</t>
  </si>
  <si>
    <t>COMPETITIVE SCORECARD</t>
  </si>
  <si>
    <t>Field-ready competitor strengths, Mistral differentiation wedges, and discovery questions.</t>
  </si>
  <si>
    <t>BATTLECARD DATABASE</t>
  </si>
  <si>
    <t>Repeatable launch narratives linking buyer triggers to capabilities, metrics, and proof.</t>
  </si>
  <si>
    <t>USE CASE PLAYBOOKS</t>
  </si>
  <si>
    <t>Measurement framework spanning awareness, engagement, activation, pipeline, adoption, and proof.</t>
  </si>
  <si>
    <t>KPI OPERATING FRAMEWORK</t>
  </si>
  <si>
    <t>Publication and launch dependencies requiring named ownership and evidence-based validation.</t>
  </si>
  <si>
    <t>VALIDATION REGISTER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</si>
</sst>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0"/>
      <color rgb="FFFFFFFF"/>
      <name val="Aptos"/>
    </font>
    <font>
      <b/>
      <sz val="18"/>
      <color rgb="FFFFFFFF"/>
      <name val="Aptos"/>
    </font>
    <font>
      <i/>
      <sz val="10"/>
      <color rgb="FF5F6B76"/>
      <name val="Aptos"/>
    </font>
    <font>
      <b/>
      <sz val="11"/>
      <color rgb="FFFFFFFF"/>
      <name val="Aptos"/>
    </font>
    <font>
      <b/>
      <sz val="18"/>
      <color rgb="FF243746"/>
      <name val="Aptos"/>
    </font>
    <font>
      <i/>
      <sz val="10"/>
      <color rgb="FF243746"/>
      <name val="Aptos"/>
    </font>
    <font>
      <sz val="11"/>
      <color rgb="FF243746"/>
      <name val="Aptos"/>
    </font>
    <font>
      <b/>
      <sz val="11"/>
      <color rgb="FF243746"/>
      <name val="Aptos"/>
    </font>
    <font>
      <sz val="10"/>
      <color rgb="FF243746"/>
      <name val="Aptos"/>
    </font>
    <font>
      <b/>
      <sz val="10"/>
      <color rgb="FF0E7490"/>
      <name val="Aptos"/>
    </font>
    <font>
      <b/>
      <sz val="11"/>
      <color rgb="FF0E7490"/>
      <name val="Aptos"/>
    </font>
    <font>
      <u/>
      <sz val="10"/>
      <color rgb="FF243746"/>
      <name val="Aptos"/>
    </font>
  </fonts>
  <fills count="9">
    <fill>
      <patternFill patternType="none"/>
    </fill>
    <fill>
      <patternFill patternType="gray125"/>
    </fill>
    <fill>
      <patternFill patternType="solid">
        <fgColor rgb="FF17324D"/>
        <bgColor indexed="64"/>
      </patternFill>
    </fill>
    <fill>
      <patternFill patternType="solid">
        <fgColor rgb="FF0F6B78"/>
        <bgColor indexed="64"/>
      </patternFill>
    </fill>
    <fill>
      <patternFill patternType="solid">
        <fgColor rgb="FFF5F7F9"/>
        <bgColor indexed="64"/>
      </patternFill>
    </fill>
    <fill>
      <patternFill patternType="solid">
        <fgColor rgb="FFEAF3F5"/>
        <bgColor indexed="64"/>
      </patternFill>
    </fill>
    <fill>
      <patternFill patternType="solid">
        <fgColor rgb="FFF3F6F8"/>
        <bgColor indexed="64"/>
      </patternFill>
    </fill>
    <fill>
      <patternFill patternType="solid">
        <fgColor rgb="FFFFFFFF"/>
        <bgColor indexed="64"/>
      </patternFill>
    </fill>
    <fill>
      <patternFill patternType="solid">
        <fgColor rgb="FF0E7490"/>
        <bgColor indexed="64"/>
      </patternFill>
    </fill>
  </fills>
  <borders count="1">
    <border>
      <left/>
      <right/>
      <top/>
      <bottom/>
      <diagonal/>
    </border>
  </borders>
  <cellStyleXfs count="1">
    <xf numFmtId="0" fontId="0" fillId="0" borderId="0"/>
  </cellStyleXfs>
  <cellXfs count="28">
    <xf numFmtId="0" fontId="0" fillId="0" borderId="0" xfId="0"/>
    <xf numFmtId="0" fontId="2" fillId="2" borderId="0" xfId="0" applyFont="1" applyFill="1" applyAlignment="1">
      <alignment vertical="center"/>
    </xf>
    <xf numFmtId="0" fontId="4" fillId="8" borderId="0" xfId="0" applyFont="1" applyFill="1" applyAlignment="1">
      <alignment vertical="center"/>
    </xf>
    <xf numFmtId="0" fontId="5" fillId="2" borderId="0" xfId="0" applyFont="1" applyFill="1" applyAlignment="1">
      <alignment vertical="top"/>
    </xf>
    <xf numFmtId="0" fontId="6" fillId="6" borderId="0" xfId="0" applyFont="1" applyFill="1" applyAlignment="1">
      <alignment vertical="top" wrapText="1"/>
    </xf>
    <xf numFmtId="0" fontId="7" fillId="7" borderId="0" xfId="0" applyFont="1" applyFill="1" applyAlignment="1">
      <alignment vertical="top"/>
    </xf>
    <xf numFmtId="0" fontId="8" fillId="8" borderId="0" xfId="0" applyFont="1" applyFill="1" applyAlignment="1">
      <alignment vertical="top"/>
    </xf>
    <xf numFmtId="0" fontId="7" fillId="0" borderId="0" xfId="0" applyFont="1" applyAlignment="1">
      <alignment vertical="top"/>
    </xf>
    <xf numFmtId="0" fontId="7" fillId="0" borderId="0" xfId="0" applyFont="1" applyAlignment="1">
      <alignment vertical="top" wrapText="1"/>
    </xf>
    <xf numFmtId="0" fontId="7" fillId="4" borderId="0" xfId="0" applyFont="1" applyFill="1" applyAlignment="1">
      <alignment vertical="top" wrapText="1"/>
    </xf>
    <xf numFmtId="0" fontId="7" fillId="5" borderId="0" xfId="0" applyFont="1" applyFill="1" applyAlignment="1">
      <alignment vertical="top" wrapText="1"/>
    </xf>
    <xf numFmtId="0" fontId="9" fillId="0" borderId="0" xfId="0" applyFont="1" applyAlignment="1">
      <alignment vertical="top" wrapText="1"/>
    </xf>
    <xf numFmtId="0" fontId="1" fillId="2" borderId="0" xfId="0" applyFont="1" applyFill="1" applyAlignment="1">
      <alignment horizontal="center" vertical="top" wrapText="1"/>
    </xf>
    <xf numFmtId="0" fontId="1" fillId="2" borderId="0" xfId="0" applyFont="1" applyFill="1" applyAlignment="1">
      <alignment horizontal="center" vertical="center" wrapText="1"/>
    </xf>
    <xf numFmtId="0" fontId="8" fillId="3" borderId="0" xfId="0" applyFont="1" applyFill="1" applyAlignment="1">
      <alignment vertical="top" wrapText="1"/>
    </xf>
    <xf numFmtId="0" fontId="10" fillId="0" borderId="0" xfId="0" applyFont="1" applyAlignment="1">
      <alignment vertical="top" wrapText="1"/>
    </xf>
    <xf numFmtId="0" fontId="11" fillId="0" borderId="0" xfId="0" applyFont="1" applyAlignment="1">
      <alignment vertical="top" wrapText="1"/>
    </xf>
    <xf numFmtId="0" fontId="11" fillId="3" borderId="0" xfId="0" applyFont="1" applyFill="1" applyAlignment="1">
      <alignment vertical="top" wrapText="1"/>
    </xf>
    <xf numFmtId="0" fontId="11" fillId="4" borderId="0" xfId="0" applyFont="1" applyFill="1" applyAlignment="1">
      <alignment vertical="top" wrapText="1"/>
    </xf>
    <xf numFmtId="0" fontId="11" fillId="5" borderId="0" xfId="0" applyFont="1" applyFill="1" applyAlignment="1">
      <alignment vertical="top" wrapText="1"/>
    </xf>
    <xf numFmtId="0" fontId="12" fillId="0" borderId="0" xfId="0" applyFont="1" applyAlignment="1">
      <alignment vertical="top" wrapText="1"/>
    </xf>
    <xf numFmtId="0" fontId="7" fillId="7" borderId="0" xfId="0" applyFont="1" applyFill="1" applyAlignment="1">
      <alignment vertical="top"/>
    </xf>
    <xf numFmtId="1" fontId="9" fillId="0" borderId="0" xfId="0" applyNumberFormat="1" applyFont="1" applyAlignment="1">
      <alignment horizontal="center" vertical="top" wrapText="1"/>
    </xf>
    <xf numFmtId="2" fontId="9" fillId="0" borderId="0" xfId="0" applyNumberFormat="1" applyFont="1" applyAlignment="1">
      <alignment horizontal="center" vertical="top" wrapText="1"/>
    </xf>
    <xf numFmtId="0" fontId="2" fillId="2" borderId="0" xfId="0" applyFont="1" applyFill="1" applyAlignment="1">
      <alignment vertical="top"/>
    </xf>
    <xf numFmtId="0" fontId="3" fillId="6" borderId="0" xfId="0" applyFont="1" applyFill="1" applyAlignment="1">
      <alignment vertical="top" wrapText="1"/>
    </xf>
    <xf numFmtId="0" fontId="4" fillId="8" borderId="0" xfId="0" applyFont="1" applyFill="1" applyAlignment="1">
      <alignment vertical="top"/>
    </xf>
    <xf numFmtId="0" fontId="9" fillId="0" borderId="0" xfId="0" applyFont="1" applyAlignment="1">
      <alignment horizontal="center" vertical="top" wrapText="1"/>
    </xf>
  </cellXfs>
  <cellStyles count="1">
    <cellStyle name="Normal" xfId="0" builtinId="0"/>
  </cellStyles>
  <dxfs count="98">
    <dxf>
      <font>
        <sz val="10"/>
        <color rgb="FF243746"/>
        <name val="Aptos"/>
      </font>
      <alignment vertical="top" wrapText="1"/>
    </dxf>
    <dxf>
      <font>
        <sz val="10"/>
        <color rgb="FF243746"/>
        <name val="Aptos"/>
      </font>
      <alignment horizontal="center"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b/>
        <sz val="10"/>
        <color rgb="FFFFFFFF"/>
        <name val="Aptos"/>
      </font>
      <fill>
        <patternFill patternType="solid">
          <fgColor indexed="64"/>
          <bgColor rgb="FF17324D"/>
        </patternFill>
      </fill>
      <alignment horizontal="center"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b/>
        <sz val="10"/>
        <color rgb="FFFFFFFF"/>
        <name val="Aptos"/>
      </font>
      <fill>
        <patternFill patternType="solid">
          <fgColor indexed="64"/>
          <bgColor rgb="FF17324D"/>
        </patternFill>
      </fill>
      <alignment horizontal="center"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b/>
        <sz val="10"/>
        <color rgb="FFFFFFFF"/>
        <name val="Aptos"/>
      </font>
      <fill>
        <patternFill patternType="solid">
          <fgColor indexed="64"/>
          <bgColor rgb="FF17324D"/>
        </patternFill>
      </fill>
      <alignment horizontal="center" vertical="top" wrapText="1"/>
    </dxf>
    <dxf>
      <font>
        <sz val="10"/>
        <color rgb="FF243746"/>
        <name val="Aptos"/>
      </font>
      <alignment vertical="top" wrapText="1"/>
    </dxf>
    <dxf>
      <font>
        <sz val="10"/>
        <color rgb="FF243746"/>
        <name val="Aptos"/>
      </font>
      <alignment vertical="top" wrapText="1"/>
    </dxf>
    <dxf>
      <font>
        <u/>
        <sz val="10"/>
        <color rgb="FF243746"/>
        <name val="Aptos"/>
      </font>
      <alignment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b/>
        <sz val="10"/>
        <color rgb="FFFFFFFF"/>
        <name val="Aptos"/>
      </font>
      <fill>
        <patternFill patternType="solid">
          <fgColor indexed="64"/>
          <bgColor rgb="FF17324D"/>
        </patternFill>
      </fill>
      <alignment horizontal="center" vertical="top" wrapText="1"/>
    </dxf>
    <dxf>
      <font>
        <sz val="10"/>
        <color rgb="FF243746"/>
        <name val="Aptos"/>
      </font>
      <alignment vertical="top" wrapText="1"/>
    </dxf>
    <dxf>
      <font>
        <sz val="10"/>
        <color rgb="FF243746"/>
        <name val="Aptos"/>
      </font>
      <numFmt numFmtId="1" formatCode="0"/>
      <alignment horizontal="center" vertical="top" wrapText="1"/>
    </dxf>
    <dxf>
      <font>
        <sz val="10"/>
        <color rgb="FF243746"/>
        <name val="Aptos"/>
      </font>
      <numFmt numFmtId="1" formatCode="0"/>
      <alignment horizontal="center" vertical="top" wrapText="1"/>
    </dxf>
    <dxf>
      <font>
        <sz val="10"/>
        <color rgb="FF243746"/>
        <name val="Aptos"/>
      </font>
      <numFmt numFmtId="1" formatCode="0"/>
      <alignment horizontal="center" vertical="top" wrapText="1"/>
    </dxf>
    <dxf>
      <font>
        <sz val="10"/>
        <color rgb="FF243746"/>
        <name val="Aptos"/>
      </font>
      <numFmt numFmtId="1" formatCode="0"/>
      <alignment horizontal="center" vertical="top" wrapText="1"/>
    </dxf>
    <dxf>
      <font>
        <sz val="10"/>
        <color rgb="FF243746"/>
        <name val="Aptos"/>
      </font>
      <numFmt numFmtId="1" formatCode="0"/>
      <alignment horizontal="center" vertical="top" wrapText="1"/>
    </dxf>
    <dxf>
      <font>
        <sz val="10"/>
        <color rgb="FF243746"/>
        <name val="Aptos"/>
      </font>
      <numFmt numFmtId="1" formatCode="0"/>
      <alignment horizontal="center" vertical="top" wrapText="1"/>
    </dxf>
    <dxf>
      <font>
        <sz val="10"/>
        <color rgb="FF243746"/>
        <name val="Aptos"/>
      </font>
      <numFmt numFmtId="1" formatCode="0"/>
      <alignment horizontal="center" vertical="top" wrapText="1"/>
    </dxf>
    <dxf>
      <font>
        <sz val="10"/>
        <color rgb="FF243746"/>
        <name val="Aptos"/>
      </font>
      <numFmt numFmtId="1" formatCode="0"/>
      <alignment horizontal="center" vertical="top" wrapText="1"/>
    </dxf>
    <dxf>
      <font>
        <sz val="10"/>
        <color rgb="FF243746"/>
        <name val="Aptos"/>
      </font>
      <numFmt numFmtId="1" formatCode="0"/>
      <alignment horizontal="center" vertical="top" wrapText="1"/>
    </dxf>
    <dxf>
      <font>
        <sz val="10"/>
        <color rgb="FF243746"/>
        <name val="Aptos"/>
      </font>
      <numFmt numFmtId="1" formatCode="0"/>
      <alignment horizontal="center" vertical="top" wrapText="1"/>
    </dxf>
    <dxf>
      <font>
        <sz val="10"/>
        <color rgb="FF243746"/>
        <name val="Aptos"/>
      </font>
      <numFmt numFmtId="1" formatCode="0"/>
      <alignment horizontal="center" vertical="top" wrapText="1"/>
    </dxf>
    <dxf>
      <font>
        <sz val="10"/>
        <color rgb="FF243746"/>
        <name val="Aptos"/>
      </font>
      <numFmt numFmtId="1" formatCode="0"/>
      <alignment horizontal="center" vertical="top" wrapText="1"/>
    </dxf>
    <dxf>
      <font>
        <sz val="10"/>
        <color rgb="FF243746"/>
        <name val="Aptos"/>
      </font>
      <numFmt numFmtId="1" formatCode="0"/>
      <alignment horizontal="center" vertical="top" wrapText="1"/>
    </dxf>
    <dxf>
      <font>
        <sz val="10"/>
        <color rgb="FF243746"/>
        <name val="Aptos"/>
      </font>
      <numFmt numFmtId="1" formatCode="0"/>
      <alignment horizontal="center" vertical="top" wrapText="1"/>
    </dxf>
    <dxf>
      <font>
        <sz val="10"/>
        <color rgb="FF243746"/>
        <name val="Aptos"/>
      </font>
      <numFmt numFmtId="1" formatCode="0"/>
      <alignment horizontal="center" vertical="top" wrapText="1"/>
    </dxf>
    <dxf>
      <font>
        <sz val="10"/>
        <color rgb="FF243746"/>
        <name val="Aptos"/>
      </font>
      <numFmt numFmtId="1" formatCode="0"/>
      <alignment horizontal="center" vertical="top" wrapText="1"/>
    </dxf>
    <dxf>
      <font>
        <sz val="10"/>
        <color rgb="FF243746"/>
        <name val="Aptos"/>
      </font>
      <numFmt numFmtId="2" formatCode="0.00"/>
      <alignment horizontal="center" vertical="top" wrapText="1"/>
    </dxf>
    <dxf>
      <font>
        <u/>
        <sz val="10"/>
        <color rgb="FF243746"/>
        <name val="Aptos"/>
      </font>
      <alignment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b/>
        <sz val="10"/>
        <color rgb="FFFFFFFF"/>
        <name val="Aptos"/>
      </font>
      <fill>
        <patternFill patternType="solid">
          <fgColor indexed="64"/>
          <bgColor rgb="FF17324D"/>
        </patternFill>
      </fill>
      <alignment horizontal="center" vertical="center"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b/>
        <sz val="10"/>
        <color rgb="FFFFFFFF"/>
        <name val="Aptos"/>
      </font>
      <fill>
        <patternFill patternType="solid">
          <fgColor indexed="64"/>
          <bgColor rgb="FF17324D"/>
        </patternFill>
      </fill>
      <alignment horizontal="center" vertical="center"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b/>
        <sz val="10"/>
        <color rgb="FFFFFFFF"/>
        <name val="Aptos"/>
      </font>
      <fill>
        <patternFill patternType="solid">
          <fgColor indexed="64"/>
          <bgColor rgb="FF17324D"/>
        </patternFill>
      </fill>
      <alignment horizontal="center" vertical="center" wrapText="1"/>
    </dxf>
    <dxf>
      <font>
        <sz val="10"/>
        <color rgb="FF243746"/>
        <name val="Aptos"/>
      </font>
      <alignment vertical="top" wrapText="1"/>
    </dxf>
    <dxf>
      <font>
        <u/>
        <sz val="10"/>
        <color rgb="FF243746"/>
        <name val="Aptos"/>
      </font>
      <alignment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b/>
        <sz val="10"/>
        <color rgb="FFFFFFFF"/>
        <name val="Aptos"/>
      </font>
      <fill>
        <patternFill patternType="solid">
          <fgColor indexed="64"/>
          <bgColor rgb="FF17324D"/>
        </patternFill>
      </fill>
      <alignment horizontal="center" vertical="center" wrapText="1"/>
    </dxf>
    <dxf>
      <font>
        <sz val="10"/>
        <color rgb="FF243746"/>
        <name val="Aptos"/>
      </font>
      <alignment vertical="top" wrapText="1"/>
    </dxf>
    <dxf>
      <font>
        <sz val="10"/>
        <color rgb="FF243746"/>
        <name val="Aptos"/>
      </font>
      <alignment vertical="top" wrapText="1"/>
    </dxf>
    <dxf>
      <font>
        <b/>
        <sz val="10"/>
        <color rgb="FF0E7490"/>
        <name val="Aptos"/>
      </font>
      <alignment vertical="top" wrapText="1"/>
    </dxf>
    <dxf>
      <font>
        <sz val="10"/>
        <color rgb="FF243746"/>
        <name val="Aptos"/>
      </font>
      <alignment vertical="top" wrapText="1"/>
    </dxf>
    <dxf>
      <font>
        <b/>
        <sz val="10"/>
        <color rgb="FFFFFFFF"/>
        <name val="Aptos"/>
      </font>
      <fill>
        <patternFill patternType="solid">
          <fgColor indexed="64"/>
          <bgColor rgb="FF17324D"/>
        </patternFill>
      </fill>
      <alignment horizontal="center" vertical="center" wrapText="1"/>
    </dxf>
    <dxf>
      <font>
        <b/>
        <i val="0"/>
        <color rgb="FFB42318"/>
      </font>
      <fill>
        <patternFill patternType="solid">
          <fgColor indexed="64"/>
          <bgColor rgb="FFFCE8E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Competitive Score Overview</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'Competitive Matrix'!$B$5</c:f>
              <c:strCache>
                <c:ptCount val="1"/>
                <c:pt idx="0">
                  <c:v>Average score</c:v>
                </c:pt>
              </c:strCache>
            </c:strRef>
          </c:tx>
          <c:spPr>
            <a:solidFill>
              <a:srgbClr val="0F6B78"/>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'Competitive Matrix'!$A$6:$A$17</c:f>
              <c:strCache>
                <c:ptCount val="12"/>
                <c:pt idx="0">
                  <c:v>Mistral Studio</c:v>
                </c:pt>
                <c:pt idx="1">
                  <c:v>OpenAI Responses + Agents SDK</c:v>
                </c:pt>
                <c:pt idx="2">
                  <c:v>Anthropic Claude Platform</c:v>
                </c:pt>
                <c:pt idx="3">
                  <c:v>Google Vertex AI / Gemini Enterprise</c:v>
                </c:pt>
                <c:pt idx="4">
                  <c:v>Microsoft Azure AI Foundry / Copilot Studio</c:v>
                </c:pt>
                <c:pt idx="5">
                  <c:v>Amazon Bedrock AgentCore</c:v>
                </c:pt>
                <c:pt idx="6">
                  <c:v>LangSmith / LangGraph</c:v>
                </c:pt>
                <c:pt idx="7">
                  <c:v>LlamaIndex / LlamaCloud</c:v>
                </c:pt>
                <c:pt idx="8">
                  <c:v>DIY open-source stack</c:v>
                </c:pt>
                <c:pt idx="9">
                  <c:v>Legacy RPA / workflow automation</c:v>
                </c:pt>
                <c:pt idx="10">
                  <c:v>Point observability/eval tools</c:v>
                </c:pt>
                <c:pt idx="11">
                  <c:v>Internal enterprise AI platform</c:v>
                </c:pt>
              </c:strCache>
            </c:strRef>
          </c:cat>
          <c:val>
            <c:numRef>
              <c:f>'Competitive Matrix'!$B$6:$B$17</c:f>
              <c:numCache>
                <c:formatCode>0.00</c:formatCode>
                <c:ptCount val="12"/>
                <c:pt idx="0">
                  <c:v>4.5</c:v>
                </c:pt>
                <c:pt idx="1">
                  <c:v>3.5</c:v>
                </c:pt>
                <c:pt idx="2">
                  <c:v>3.25</c:v>
                </c:pt>
                <c:pt idx="3">
                  <c:v>4.0625</c:v>
                </c:pt>
                <c:pt idx="4">
                  <c:v>4.375</c:v>
                </c:pt>
                <c:pt idx="5">
                  <c:v>4.375</c:v>
                </c:pt>
                <c:pt idx="6">
                  <c:v>4.25</c:v>
                </c:pt>
                <c:pt idx="7">
                  <c:v>3.375</c:v>
                </c:pt>
                <c:pt idx="8">
                  <c:v>2.6875</c:v>
                </c:pt>
                <c:pt idx="9">
                  <c:v>3.25</c:v>
                </c:pt>
                <c:pt idx="10">
                  <c:v>2.75</c:v>
                </c:pt>
                <c:pt idx="11">
                  <c:v>3.4375</c:v>
                </c:pt>
              </c:numCache>
            </c:numRef>
          </c:val>
          <c:extLst>
            <c:ext xmlns:c16="http://schemas.microsoft.com/office/drawing/2014/chart" uri="{C3380CC4-5D6E-409C-BE32-E72D297353CC}">
              <c16:uniqueId val="{00000000-7CF6-42CF-87F1-0F4279407481}"/>
            </c:ext>
          </c:extLst>
        </c:ser>
        <c:dLbls>
          <c:showLegendKey val="0"/>
          <c:showVal val="0"/>
          <c:showCatName val="0"/>
          <c:showSerName val="0"/>
          <c:showPercent val="0"/>
          <c:showBubbleSize val="0"/>
        </c:dLbls>
        <c:gapWidth val="182"/>
        <c:axId val="623353488"/>
        <c:axId val="1159519664"/>
      </c:barChart>
      <c:catAx>
        <c:axId val="62335348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Alternative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519664"/>
        <c:crosses val="autoZero"/>
        <c:auto val="1"/>
        <c:lblAlgn val="ctr"/>
        <c:lblOffset val="100"/>
        <c:noMultiLvlLbl val="0"/>
      </c:catAx>
      <c:valAx>
        <c:axId val="115951966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score (1–5)</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353488"/>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19</xdr:row>
      <xdr:rowOff>0</xdr:rowOff>
    </xdr:from>
    <xdr:to>
      <xdr:col>10</xdr:col>
      <xdr:colOff>0</xdr:colOff>
      <xdr:row>37</xdr:row>
      <xdr:rowOff>0</xdr:rowOff>
    </xdr:to>
    <xdr:graphicFrame macro="">
      <xdr:nvGraphicFramePr>
        <xdr:cNvPr id="3" name="Competitive Score Overview">
          <a:extLst>
            <a:ext uri="{FF2B5EF4-FFF2-40B4-BE49-F238E27FC236}">
              <a16:creationId xmlns:a16="http://schemas.microsoft.com/office/drawing/2014/main" id="{1E76F358-7F81-6FCF-7C57-ACA65D5E8E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D061D47-1511-4823-AC1C-CB9EDD8BD423}" name="CoverContentsTable" displayName="CoverContentsTable" ref="A5:B13" totalsRowShown="0" headerRowDxfId="96" dataDxfId="95">
  <autoFilter ref="A5:B13" xr:uid="{2D061D47-1511-4823-AC1C-CB9EDD8BD423}"/>
  <tableColumns count="2">
    <tableColumn id="1" xr3:uid="{7623DA02-0C8F-44DA-89A1-97E5A4100BA9}" name="WORKBOOK CONTENTS" dataDxfId="94"/>
    <tableColumn id="2" xr3:uid="{1971B4B8-202C-47C5-94AE-FC31BDEDBE77}" name="PURPOSE" dataDxfId="9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echnicaltoBusinessVTable" displayName="TechnicaltoBusinessVTable" ref="A5:J48" headerRowDxfId="91" dataDxfId="87" totalsRowDxfId="92">
  <autoFilter ref="A5:J48" xr:uid="{00000000-0009-0000-0100-000001000000}"/>
  <tableColumns count="10">
    <tableColumn id="1" xr3:uid="{00000000-0010-0000-0000-000001000000}" name="Capability" dataDxfId="90"/>
    <tableColumn id="2" xr3:uid="{00000000-0010-0000-0000-000002000000}" name="Technical capability" dataDxfId="86"/>
    <tableColumn id="3" xr3:uid="{00000000-0010-0000-0000-000003000000}" name="Primary user" dataDxfId="89"/>
    <tableColumn id="4" xr3:uid="{00000000-0010-0000-0000-000004000000}" name="Problem solved" dataDxfId="85"/>
    <tableColumn id="5" xr3:uid="{00000000-0010-0000-0000-000005000000}" name="Technical outcome" dataDxfId="84"/>
    <tableColumn id="6" xr3:uid="{00000000-0010-0000-0000-000006000000}" name="Business outcome" dataDxfId="83"/>
    <tableColumn id="7" xr3:uid="{00000000-0010-0000-0000-000007000000}" name="Persona message" dataDxfId="82"/>
    <tableColumn id="8" xr3:uid="{00000000-0010-0000-0000-000008000000}" name="Metric / KPI hint" dataDxfId="81"/>
    <tableColumn id="9" xr3:uid="{00000000-0010-0000-0000-000009000000}" name="Evidence type" dataDxfId="88"/>
    <tableColumn id="10" xr3:uid="{00000000-0010-0000-0000-00000A000000}" name="Source URL" dataDxfId="8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ersonaDatabaseTable" displayName="PersonaDatabaseTable" ref="A5:K12" headerRowDxfId="78" dataDxfId="75" totalsRowDxfId="79">
  <autoFilter ref="A5:K12" xr:uid="{00000000-0009-0000-0100-000002000000}"/>
  <tableColumns count="11">
    <tableColumn id="1" xr3:uid="{00000000-0010-0000-0100-000001000000}" name="Persona" dataDxfId="77"/>
    <tableColumn id="2" xr3:uid="{00000000-0010-0000-0100-000002000000}" name="Role in journey" dataDxfId="76"/>
    <tableColumn id="3" xr3:uid="{00000000-0010-0000-0100-000003000000}" name="Jobs to be done" dataDxfId="74"/>
    <tableColumn id="4" xr3:uid="{00000000-0010-0000-0100-000004000000}" name="Current solution" dataDxfId="73"/>
    <tableColumn id="5" xr3:uid="{00000000-0010-0000-0100-000005000000}" name="Pain" dataDxfId="72"/>
    <tableColumn id="6" xr3:uid="{00000000-0010-0000-0100-000006000000}" name="Trigger" dataDxfId="71"/>
    <tableColumn id="7" xr3:uid="{00000000-0010-0000-0100-000007000000}" name="Desired outcome" dataDxfId="70"/>
    <tableColumn id="8" xr3:uid="{00000000-0010-0000-0100-000008000000}" name="Objections" dataDxfId="69"/>
    <tableColumn id="9" xr3:uid="{00000000-0010-0000-0100-000009000000}" name="Technical requirements" dataDxfId="68"/>
    <tableColumn id="10" xr3:uid="{00000000-0010-0000-0100-00000A000000}" name="Business requirements" dataDxfId="67"/>
    <tableColumn id="11" xr3:uid="{00000000-0010-0000-0100-00000B000000}" name="Evidence needed / CTA" dataDxfId="66"/>
  </tableColumns>
  <tableStyleInfo name="TableStyleMedium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egmentFrameworkTable" displayName="SegmentFrameworkTable" ref="A5:F11" headerRowDxfId="64" dataDxfId="61" totalsRowDxfId="65">
  <autoFilter ref="A5:F11" xr:uid="{00000000-0009-0000-0100-000003000000}"/>
  <tableColumns count="6">
    <tableColumn id="1" xr3:uid="{00000000-0010-0000-0200-000001000000}" name="Segment" dataDxfId="63"/>
    <tableColumn id="2" xr3:uid="{00000000-0010-0000-0200-000002000000}" name="Buying center" dataDxfId="60"/>
    <tableColumn id="3" xr3:uid="{00000000-0010-0000-0200-000003000000}" name="Core pains" dataDxfId="59"/>
    <tableColumn id="4" xr3:uid="{00000000-0010-0000-0200-000004000000}" name="Priority use cases" dataDxfId="58"/>
    <tableColumn id="5" xr3:uid="{00000000-0010-0000-0200-000005000000}" name="Proof points" dataDxfId="62"/>
    <tableColumn id="6" xr3:uid="{00000000-0010-0000-0200-000006000000}" name="Recommended CTA" dataDxfId="57"/>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ompetitiveMatrixTable" displayName="CompetitiveMatrixTable" ref="A5:T17" headerRowDxfId="55" dataDxfId="53" totalsRowDxfId="56">
  <autoFilter ref="A5:T17" xr:uid="{00000000-0009-0000-0100-000004000000}"/>
  <tableColumns count="20">
    <tableColumn id="1" xr3:uid="{00000000-0010-0000-0300-000001000000}" name="Alternative" dataDxfId="54"/>
    <tableColumn id="2" xr3:uid="{00000000-0010-0000-0300-000002000000}" name="Average score" dataDxfId="50"/>
    <tableColumn id="3" xr3:uid="{00000000-0010-0000-0300-000003000000}" name="Frontier model access" dataDxfId="49"/>
    <tableColumn id="4" xr3:uid="{00000000-0010-0000-0300-000004000000}" name="Open/portable model posture" dataDxfId="48"/>
    <tableColumn id="5" xr3:uid="{00000000-0010-0000-0300-000005000000}" name="Durable agent runtime" dataDxfId="47"/>
    <tableColumn id="6" xr3:uid="{00000000-0010-0000-0300-000006000000}" name="Workflow orchestration" dataDxfId="46"/>
    <tableColumn id="7" xr3:uid="{00000000-0010-0000-0300-000007000000}" name="Evals/judges" dataDxfId="45"/>
    <tableColumn id="8" xr3:uid="{00000000-0010-0000-0300-000008000000}" name="Tracing/observability" dataDxfId="44"/>
    <tableColumn id="9" xr3:uid="{00000000-0010-0000-0300-000009000000}" name="Registry/versioning" dataDxfId="43"/>
    <tableColumn id="10" xr3:uid="{00000000-0010-0000-0300-00000A000000}" name="Enterprise connectors/identity" dataDxfId="42"/>
    <tableColumn id="11" xr3:uid="{00000000-0010-0000-0300-00000B000000}" name="Guardrails/moderation" dataDxfId="41"/>
    <tableColumn id="12" xr3:uid="{00000000-0010-0000-0300-00000C000000}" name="Hybrid/self-host/on-prem" dataDxfId="40"/>
    <tableColumn id="13" xr3:uid="{00000000-0010-0000-0300-00000D000000}" name="Data residency/control" dataDxfId="39"/>
    <tableColumn id="14" xr3:uid="{00000000-0010-0000-0300-00000E000000}" name="Developer UX/docs" dataDxfId="38"/>
    <tableColumn id="15" xr3:uid="{00000000-0010-0000-0300-00000F000000}" name="Governance gates" dataDxfId="37"/>
    <tableColumn id="16" xr3:uid="{00000000-0010-0000-0300-000010000000}" name="Cloud/ecosystem breadth" dataDxfId="36"/>
    <tableColumn id="17" xr3:uid="{00000000-0010-0000-0300-000011000000}" name="Commercial maturity" dataDxfId="35"/>
    <tableColumn id="18" xr3:uid="{00000000-0010-0000-0300-000012000000}" name="Sovereignty positioning" dataDxfId="34"/>
    <tableColumn id="19" xr3:uid="{00000000-0010-0000-0300-000013000000}" name="Best-fit buyer" dataDxfId="52"/>
    <tableColumn id="20" xr3:uid="{00000000-0010-0000-0300-000014000000}" name="Source URL" dataDxfId="5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BattlecardDataTable" displayName="BattlecardDataTable" ref="A5:E16" headerRowDxfId="32" dataDxfId="26" totalsRowDxfId="33">
  <autoFilter ref="A5:E16" xr:uid="{00000000-0009-0000-0100-000005000000}"/>
  <tableColumns count="5">
    <tableColumn id="1" xr3:uid="{00000000-0010-0000-0400-000001000000}" name="Alternative" dataDxfId="31"/>
    <tableColumn id="2" xr3:uid="{00000000-0010-0000-0400-000002000000}" name="Likely strength" dataDxfId="30"/>
    <tableColumn id="3" xr3:uid="{00000000-0010-0000-0400-000003000000}" name="Mistral wedge" dataDxfId="29"/>
    <tableColumn id="4" xr3:uid="{00000000-0010-0000-0400-000004000000}" name="Qualifying question" dataDxfId="28"/>
    <tableColumn id="5" xr3:uid="{00000000-0010-0000-0400-000005000000}" name="Source URL" dataDxfId="27"/>
  </tableColumns>
  <tableStyleInfo name="TableStyleMedium4"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UseCasePlaybooksTable" displayName="UseCasePlaybooksTable" ref="A5:G15" headerRowDxfId="24" dataDxfId="16" totalsRowDxfId="25">
  <autoFilter ref="A5:G15" xr:uid="{00000000-0009-0000-0100-000006000000}"/>
  <tableColumns count="7">
    <tableColumn id="1" xr3:uid="{00000000-0010-0000-0500-000001000000}" name="Use case" dataDxfId="23"/>
    <tableColumn id="2" xr3:uid="{00000000-0010-0000-0500-000002000000}" name="Buyer" dataDxfId="22"/>
    <tableColumn id="3" xr3:uid="{00000000-0010-0000-0500-000003000000}" name="Trigger" dataDxfId="21"/>
    <tableColumn id="4" xr3:uid="{00000000-0010-0000-0500-000004000000}" name="Studio narrative" dataDxfId="20"/>
    <tableColumn id="5" xr3:uid="{00000000-0010-0000-0500-000005000000}" name="Capabilities" dataDxfId="19"/>
    <tableColumn id="6" xr3:uid="{00000000-0010-0000-0500-000006000000}" name="Metrics" dataDxfId="18"/>
    <tableColumn id="7" xr3:uid="{00000000-0010-0000-0500-000007000000}" name="Proof points" dataDxfId="17"/>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KPIFrameworkTable" displayName="KPIFrameworkTable" ref="A5:F23" headerRowDxfId="14" dataDxfId="7" totalsRowDxfId="15">
  <autoFilter ref="A5:F23" xr:uid="{00000000-0009-0000-0100-000007000000}"/>
  <tableColumns count="6">
    <tableColumn id="1" xr3:uid="{00000000-0010-0000-0600-000001000000}" name="Funnel area" dataDxfId="13"/>
    <tableColumn id="2" xr3:uid="{00000000-0010-0000-0600-000002000000}" name="KPI" dataDxfId="12"/>
    <tableColumn id="3" xr3:uid="{00000000-0010-0000-0600-000003000000}" name="Definition" dataDxfId="11"/>
    <tableColumn id="4" xr3:uid="{00000000-0010-0000-0600-000004000000}" name="Cadence" dataDxfId="10"/>
    <tableColumn id="5" xr3:uid="{00000000-0010-0000-0600-000005000000}" name="Likely source" dataDxfId="9"/>
    <tableColumn id="6" xr3:uid="{00000000-0010-0000-0600-000006000000}" name="Notes" dataDxfId="8"/>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AssumptionRegisterTable" displayName="AssumptionRegisterTable" ref="A5:D11" headerRowDxfId="5" dataDxfId="0" totalsRowDxfId="6">
  <autoFilter ref="A5:D11" xr:uid="{00000000-0009-0000-0100-000008000000}"/>
  <tableColumns count="4">
    <tableColumn id="1" xr3:uid="{00000000-0010-0000-0700-000001000000}" name="Assumption" dataDxfId="4"/>
    <tableColumn id="2" xr3:uid="{00000000-0010-0000-0700-000002000000}" name="Why it matters" dataDxfId="3"/>
    <tableColumn id="3" xr3:uid="{00000000-0010-0000-0700-000003000000}" name="Validation owner" dataDxfId="2"/>
    <tableColumn id="4" xr3:uid="{00000000-0010-0000-0700-000004000000}" name="Status" dataDxfId="1"/>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
  <sheetViews>
    <sheetView showGridLines="0" workbookViewId="0">
      <pane ySplit="1" topLeftCell="A2" activePane="bottomLeft" state="frozen"/>
      <selection pane="bottomLeft" activeCell="I14" sqref="I14"/>
    </sheetView>
  </sheetViews>
  <sheetFormatPr defaultRowHeight="15" x14ac:dyDescent="0.25"/>
  <cols>
    <col min="1" max="1" width="38.140625" customWidth="1"/>
    <col min="2" max="2" width="66.7109375" customWidth="1"/>
    <col min="3" max="8" width="8.5703125" customWidth="1"/>
  </cols>
  <sheetData>
    <row r="1" spans="1:8" ht="30" customHeight="1" x14ac:dyDescent="0.25">
      <c r="A1" s="3" t="s">
        <v>665</v>
      </c>
      <c r="B1" s="3"/>
      <c r="C1" s="3"/>
      <c r="D1" s="3"/>
      <c r="E1" s="3"/>
      <c r="F1" s="3"/>
      <c r="G1" s="3"/>
      <c r="H1" s="3"/>
    </row>
    <row r="2" spans="1:8" ht="30" customHeight="1" x14ac:dyDescent="0.25">
      <c r="A2" s="4" t="s">
        <v>666</v>
      </c>
      <c r="B2" s="4"/>
      <c r="C2" s="4"/>
      <c r="D2" s="4"/>
      <c r="E2" s="4"/>
      <c r="F2" s="4"/>
      <c r="G2" s="4"/>
      <c r="H2" s="4"/>
    </row>
    <row r="3" spans="1:8" ht="9" customHeight="1" x14ac:dyDescent="0.25">
      <c r="A3" s="5"/>
      <c r="B3" s="5"/>
      <c r="C3" s="5"/>
      <c r="D3" s="5"/>
      <c r="E3" s="5"/>
      <c r="F3" s="5"/>
      <c r="G3" s="5"/>
      <c r="H3" s="5"/>
    </row>
    <row r="4" spans="1:8" ht="21.95" customHeight="1" x14ac:dyDescent="0.25">
      <c r="A4" s="6"/>
      <c r="B4" s="6"/>
      <c r="C4" s="6"/>
      <c r="D4" s="6"/>
      <c r="E4" s="6"/>
      <c r="F4" s="6"/>
      <c r="G4" s="6"/>
      <c r="H4" s="6"/>
    </row>
    <row r="5" spans="1:8" ht="30" customHeight="1" x14ac:dyDescent="0.25">
      <c r="A5" s="13" t="s">
        <v>667</v>
      </c>
      <c r="B5" s="13" t="s">
        <v>668</v>
      </c>
      <c r="C5" s="7"/>
      <c r="D5" s="7"/>
      <c r="E5" s="7"/>
      <c r="F5" s="7"/>
      <c r="G5" s="7"/>
      <c r="H5" s="7"/>
    </row>
    <row r="6" spans="1:8" ht="27.95" customHeight="1" x14ac:dyDescent="0.25">
      <c r="A6" s="15" t="s">
        <v>669</v>
      </c>
      <c r="B6" s="11" t="s">
        <v>670</v>
      </c>
      <c r="C6" s="8"/>
      <c r="D6" s="8"/>
      <c r="E6" s="8"/>
      <c r="F6" s="8"/>
      <c r="G6" s="8"/>
      <c r="H6" s="8"/>
    </row>
    <row r="7" spans="1:8" ht="27.95" customHeight="1" x14ac:dyDescent="0.25">
      <c r="A7" s="15" t="s">
        <v>671</v>
      </c>
      <c r="B7" s="11" t="s">
        <v>672</v>
      </c>
      <c r="C7" s="8"/>
      <c r="D7" s="8"/>
      <c r="E7" s="8"/>
      <c r="F7" s="8"/>
      <c r="G7" s="8"/>
      <c r="H7" s="8"/>
    </row>
    <row r="8" spans="1:8" ht="27.95" customHeight="1" x14ac:dyDescent="0.25">
      <c r="A8" s="15" t="s">
        <v>673</v>
      </c>
      <c r="B8" s="11" t="s">
        <v>674</v>
      </c>
      <c r="C8" s="8"/>
      <c r="D8" s="8"/>
      <c r="E8" s="8"/>
      <c r="F8" s="8"/>
      <c r="G8" s="8"/>
      <c r="H8" s="8"/>
    </row>
    <row r="9" spans="1:8" ht="27.95" customHeight="1" x14ac:dyDescent="0.25">
      <c r="A9" s="15" t="s">
        <v>675</v>
      </c>
      <c r="B9" s="11" t="s">
        <v>676</v>
      </c>
      <c r="C9" s="8"/>
      <c r="D9" s="8"/>
      <c r="E9" s="8"/>
      <c r="F9" s="8"/>
      <c r="G9" s="8"/>
      <c r="H9" s="8"/>
    </row>
    <row r="10" spans="1:8" ht="27.95" customHeight="1" x14ac:dyDescent="0.25">
      <c r="A10" s="15" t="s">
        <v>677</v>
      </c>
      <c r="B10" s="11" t="s">
        <v>678</v>
      </c>
      <c r="C10" s="8"/>
      <c r="D10" s="8"/>
      <c r="E10" s="8"/>
      <c r="F10" s="8"/>
      <c r="G10" s="8"/>
      <c r="H10" s="8"/>
    </row>
    <row r="11" spans="1:8" ht="27.95" customHeight="1" x14ac:dyDescent="0.25">
      <c r="A11" s="15" t="s">
        <v>679</v>
      </c>
      <c r="B11" s="11" t="s">
        <v>680</v>
      </c>
      <c r="C11" s="8"/>
      <c r="D11" s="8"/>
      <c r="E11" s="8"/>
      <c r="F11" s="8"/>
      <c r="G11" s="8"/>
      <c r="H11" s="8"/>
    </row>
    <row r="12" spans="1:8" ht="27.95" customHeight="1" x14ac:dyDescent="0.25">
      <c r="A12" s="15" t="s">
        <v>681</v>
      </c>
      <c r="B12" s="11" t="s">
        <v>682</v>
      </c>
      <c r="C12" s="8"/>
      <c r="D12" s="8"/>
      <c r="E12" s="8"/>
      <c r="F12" s="8"/>
      <c r="G12" s="8"/>
      <c r="H12" s="8"/>
    </row>
    <row r="13" spans="1:8" ht="27.95" customHeight="1" x14ac:dyDescent="0.25">
      <c r="A13" s="15" t="s">
        <v>683</v>
      </c>
      <c r="B13" s="11" t="s">
        <v>684</v>
      </c>
      <c r="C13" s="8"/>
      <c r="D13" s="8"/>
      <c r="E13" s="8"/>
      <c r="F13" s="8"/>
      <c r="G13" s="8"/>
      <c r="H13" s="8"/>
    </row>
    <row r="14" spans="1:8" ht="27.95" customHeight="1" x14ac:dyDescent="0.25">
      <c r="A14" s="16"/>
      <c r="B14" s="8"/>
      <c r="C14" s="8"/>
      <c r="D14" s="8"/>
      <c r="E14" s="8"/>
      <c r="F14" s="8"/>
      <c r="G14" s="8"/>
      <c r="H14" s="8"/>
    </row>
    <row r="15" spans="1:8" ht="27.95" customHeight="1" x14ac:dyDescent="0.25">
      <c r="A15" s="17" t="s">
        <v>685</v>
      </c>
      <c r="B15" s="14"/>
      <c r="C15" s="14"/>
      <c r="D15" s="14"/>
      <c r="E15" s="14"/>
      <c r="F15" s="14"/>
      <c r="G15" s="14"/>
      <c r="H15" s="14"/>
    </row>
    <row r="16" spans="1:8" ht="27.95" customHeight="1" x14ac:dyDescent="0.25">
      <c r="A16" s="16"/>
      <c r="B16" s="8"/>
      <c r="C16" s="8"/>
      <c r="D16" s="8"/>
      <c r="E16" s="8"/>
      <c r="F16" s="8"/>
      <c r="G16" s="8"/>
      <c r="H16" s="8"/>
    </row>
    <row r="17" spans="1:8" ht="27.95" customHeight="1" x14ac:dyDescent="0.25">
      <c r="A17" s="18" t="s">
        <v>0</v>
      </c>
      <c r="B17" s="9" t="s">
        <v>686</v>
      </c>
      <c r="C17" s="8"/>
      <c r="D17" s="8"/>
      <c r="E17" s="8"/>
      <c r="F17" s="8"/>
      <c r="G17" s="8"/>
      <c r="H17" s="8"/>
    </row>
    <row r="18" spans="1:8" ht="27.95" customHeight="1" x14ac:dyDescent="0.25">
      <c r="A18" s="18" t="s">
        <v>687</v>
      </c>
      <c r="B18" s="9" t="s">
        <v>688</v>
      </c>
      <c r="C18" s="8"/>
      <c r="D18" s="8"/>
      <c r="E18" s="8"/>
      <c r="F18" s="8"/>
      <c r="G18" s="8"/>
      <c r="H18" s="8"/>
    </row>
    <row r="19" spans="1:8" ht="27.95" customHeight="1" x14ac:dyDescent="0.25">
      <c r="A19" s="16"/>
      <c r="B19" s="8"/>
      <c r="C19" s="8"/>
      <c r="D19" s="8"/>
      <c r="E19" s="8"/>
      <c r="F19" s="8"/>
      <c r="G19" s="8"/>
      <c r="H19" s="8"/>
    </row>
    <row r="20" spans="1:8" ht="27.95" customHeight="1" x14ac:dyDescent="0.25">
      <c r="A20" s="17" t="s">
        <v>689</v>
      </c>
      <c r="B20" s="14"/>
      <c r="C20" s="14"/>
      <c r="D20" s="14"/>
      <c r="E20" s="14"/>
      <c r="F20" s="14"/>
      <c r="G20" s="14"/>
      <c r="H20" s="14"/>
    </row>
    <row r="21" spans="1:8" ht="27.95" customHeight="1" x14ac:dyDescent="0.25">
      <c r="A21" s="19" t="s">
        <v>690</v>
      </c>
      <c r="B21" s="10"/>
      <c r="C21" s="10"/>
      <c r="D21" s="10"/>
      <c r="E21" s="10"/>
      <c r="F21" s="10"/>
      <c r="G21" s="10"/>
      <c r="H21" s="10"/>
    </row>
    <row r="22" spans="1:8" ht="27.95" customHeight="1" x14ac:dyDescent="0.25">
      <c r="A22" s="19"/>
      <c r="B22" s="10"/>
      <c r="C22" s="10"/>
      <c r="D22" s="10"/>
      <c r="E22" s="10"/>
      <c r="F22" s="10"/>
      <c r="G22" s="10"/>
      <c r="H22" s="10"/>
    </row>
    <row r="23" spans="1:8" ht="27.95" customHeight="1" x14ac:dyDescent="0.25">
      <c r="A23" s="19"/>
      <c r="B23" s="10"/>
      <c r="C23" s="10"/>
      <c r="D23" s="10"/>
      <c r="E23" s="10"/>
      <c r="F23" s="10"/>
      <c r="G23" s="10"/>
      <c r="H23" s="10"/>
    </row>
  </sheetData>
  <mergeCells count="7">
    <mergeCell ref="A21:H23"/>
    <mergeCell ref="A4:H4"/>
    <mergeCell ref="A1:H1"/>
    <mergeCell ref="A2:H2"/>
    <mergeCell ref="A3:H3"/>
    <mergeCell ref="A15:H15"/>
    <mergeCell ref="A20:H20"/>
  </mergeCells>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8"/>
  <sheetViews>
    <sheetView showGridLines="0" workbookViewId="0">
      <pane ySplit="5" topLeftCell="A10" activePane="bottomLeft" state="frozen"/>
      <selection pane="bottomLeft" sqref="A1:J1"/>
    </sheetView>
  </sheetViews>
  <sheetFormatPr defaultRowHeight="15" x14ac:dyDescent="0.25"/>
  <cols>
    <col min="1" max="1" width="20" customWidth="1"/>
    <col min="2" max="2" width="38.140625" customWidth="1"/>
    <col min="3" max="3" width="22.85546875" customWidth="1"/>
    <col min="4" max="4" width="32.42578125" customWidth="1"/>
    <col min="5" max="5" width="34.28515625" customWidth="1"/>
    <col min="6" max="6" width="31.42578125" customWidth="1"/>
    <col min="7" max="7" width="36.140625" customWidth="1"/>
    <col min="8" max="8" width="28.5703125" customWidth="1"/>
    <col min="9" max="9" width="16.140625" customWidth="1"/>
    <col min="10" max="10" width="34.28515625" customWidth="1"/>
  </cols>
  <sheetData>
    <row r="1" spans="1:10" ht="30" customHeight="1" x14ac:dyDescent="0.25">
      <c r="A1" s="3" t="s">
        <v>669</v>
      </c>
      <c r="B1" s="3"/>
      <c r="C1" s="3"/>
      <c r="D1" s="3"/>
      <c r="E1" s="3"/>
      <c r="F1" s="3"/>
      <c r="G1" s="3"/>
      <c r="H1" s="3"/>
      <c r="I1" s="3"/>
      <c r="J1" s="3"/>
    </row>
    <row r="2" spans="1:10" ht="30" customHeight="1" x14ac:dyDescent="0.25">
      <c r="A2" s="4" t="s">
        <v>691</v>
      </c>
      <c r="B2" s="4"/>
      <c r="C2" s="4"/>
      <c r="D2" s="4"/>
      <c r="E2" s="4"/>
      <c r="F2" s="4"/>
      <c r="G2" s="4"/>
      <c r="H2" s="4"/>
      <c r="I2" s="4"/>
      <c r="J2" s="4"/>
    </row>
    <row r="3" spans="1:10" ht="9" customHeight="1" x14ac:dyDescent="0.25">
      <c r="A3" s="21"/>
      <c r="B3" s="21"/>
      <c r="C3" s="21"/>
      <c r="D3" s="21"/>
      <c r="E3" s="21"/>
      <c r="F3" s="21"/>
      <c r="G3" s="21"/>
      <c r="H3" s="21"/>
      <c r="I3" s="21"/>
      <c r="J3" s="21"/>
    </row>
    <row r="4" spans="1:10" ht="21.95" customHeight="1" x14ac:dyDescent="0.25">
      <c r="A4" s="6" t="s">
        <v>692</v>
      </c>
      <c r="B4" s="6"/>
      <c r="C4" s="6"/>
      <c r="D4" s="6"/>
      <c r="E4" s="6"/>
      <c r="F4" s="6"/>
      <c r="G4" s="6"/>
      <c r="H4" s="6"/>
      <c r="I4" s="6"/>
      <c r="J4" s="6"/>
    </row>
    <row r="5" spans="1:10" ht="30" customHeight="1" x14ac:dyDescent="0.25">
      <c r="A5" s="13" t="s">
        <v>1</v>
      </c>
      <c r="B5" s="13" t="s">
        <v>2</v>
      </c>
      <c r="C5" s="13" t="s">
        <v>3</v>
      </c>
      <c r="D5" s="13" t="s">
        <v>4</v>
      </c>
      <c r="E5" s="13" t="s">
        <v>5</v>
      </c>
      <c r="F5" s="13" t="s">
        <v>6</v>
      </c>
      <c r="G5" s="13" t="s">
        <v>7</v>
      </c>
      <c r="H5" s="13" t="s">
        <v>8</v>
      </c>
      <c r="I5" s="13" t="s">
        <v>9</v>
      </c>
      <c r="J5" s="13" t="s">
        <v>10</v>
      </c>
    </row>
    <row r="6" spans="1:10" ht="45" customHeight="1" x14ac:dyDescent="0.25">
      <c r="A6" s="11" t="s">
        <v>11</v>
      </c>
      <c r="B6" s="11" t="s">
        <v>12</v>
      </c>
      <c r="C6" s="11" t="s">
        <v>13</v>
      </c>
      <c r="D6" s="11" t="s">
        <v>14</v>
      </c>
      <c r="E6" s="11" t="s">
        <v>15</v>
      </c>
      <c r="F6" s="11" t="s">
        <v>16</v>
      </c>
      <c r="G6" s="11" t="s">
        <v>17</v>
      </c>
      <c r="H6" s="11" t="s">
        <v>18</v>
      </c>
      <c r="I6" s="11" t="s">
        <v>19</v>
      </c>
      <c r="J6" s="20" t="s">
        <v>20</v>
      </c>
    </row>
    <row r="7" spans="1:10" ht="45" customHeight="1" x14ac:dyDescent="0.25">
      <c r="A7" s="11" t="s">
        <v>21</v>
      </c>
      <c r="B7" s="11" t="s">
        <v>22</v>
      </c>
      <c r="C7" s="11" t="s">
        <v>23</v>
      </c>
      <c r="D7" s="11" t="s">
        <v>24</v>
      </c>
      <c r="E7" s="11" t="s">
        <v>25</v>
      </c>
      <c r="F7" s="11" t="s">
        <v>26</v>
      </c>
      <c r="G7" s="11" t="s">
        <v>27</v>
      </c>
      <c r="H7" s="11" t="s">
        <v>28</v>
      </c>
      <c r="I7" s="11" t="s">
        <v>19</v>
      </c>
      <c r="J7" s="20" t="s">
        <v>20</v>
      </c>
    </row>
    <row r="8" spans="1:10" ht="45" customHeight="1" x14ac:dyDescent="0.25">
      <c r="A8" s="11" t="s">
        <v>29</v>
      </c>
      <c r="B8" s="11" t="s">
        <v>30</v>
      </c>
      <c r="C8" s="11" t="s">
        <v>31</v>
      </c>
      <c r="D8" s="11" t="s">
        <v>32</v>
      </c>
      <c r="E8" s="11" t="s">
        <v>33</v>
      </c>
      <c r="F8" s="11" t="s">
        <v>26</v>
      </c>
      <c r="G8" s="11" t="s">
        <v>34</v>
      </c>
      <c r="H8" s="11" t="s">
        <v>35</v>
      </c>
      <c r="I8" s="11" t="s">
        <v>19</v>
      </c>
      <c r="J8" s="20" t="s">
        <v>20</v>
      </c>
    </row>
    <row r="9" spans="1:10" ht="45" customHeight="1" x14ac:dyDescent="0.25">
      <c r="A9" s="11" t="s">
        <v>36</v>
      </c>
      <c r="B9" s="11" t="s">
        <v>37</v>
      </c>
      <c r="C9" s="11" t="s">
        <v>38</v>
      </c>
      <c r="D9" s="11" t="s">
        <v>39</v>
      </c>
      <c r="E9" s="11" t="s">
        <v>40</v>
      </c>
      <c r="F9" s="11" t="s">
        <v>26</v>
      </c>
      <c r="G9" s="11" t="s">
        <v>41</v>
      </c>
      <c r="H9" s="11" t="s">
        <v>35</v>
      </c>
      <c r="I9" s="11" t="s">
        <v>19</v>
      </c>
      <c r="J9" s="20" t="s">
        <v>42</v>
      </c>
    </row>
    <row r="10" spans="1:10" ht="45" customHeight="1" x14ac:dyDescent="0.25">
      <c r="A10" s="11" t="s">
        <v>43</v>
      </c>
      <c r="B10" s="11" t="s">
        <v>44</v>
      </c>
      <c r="C10" s="11" t="s">
        <v>23</v>
      </c>
      <c r="D10" s="11" t="s">
        <v>45</v>
      </c>
      <c r="E10" s="11" t="s">
        <v>46</v>
      </c>
      <c r="F10" s="11" t="s">
        <v>26</v>
      </c>
      <c r="G10" s="11" t="s">
        <v>47</v>
      </c>
      <c r="H10" s="11" t="s">
        <v>18</v>
      </c>
      <c r="I10" s="11" t="s">
        <v>19</v>
      </c>
      <c r="J10" s="20" t="s">
        <v>42</v>
      </c>
    </row>
    <row r="11" spans="1:10" ht="45" customHeight="1" x14ac:dyDescent="0.25">
      <c r="A11" s="11" t="s">
        <v>48</v>
      </c>
      <c r="B11" s="11" t="s">
        <v>49</v>
      </c>
      <c r="C11" s="11" t="s">
        <v>50</v>
      </c>
      <c r="D11" s="11" t="s">
        <v>51</v>
      </c>
      <c r="E11" s="11" t="s">
        <v>52</v>
      </c>
      <c r="F11" s="11" t="s">
        <v>26</v>
      </c>
      <c r="G11" s="11" t="s">
        <v>53</v>
      </c>
      <c r="H11" s="11" t="s">
        <v>18</v>
      </c>
      <c r="I11" s="11" t="s">
        <v>19</v>
      </c>
      <c r="J11" s="20" t="s">
        <v>54</v>
      </c>
    </row>
    <row r="12" spans="1:10" ht="45" customHeight="1" x14ac:dyDescent="0.25">
      <c r="A12" s="11" t="s">
        <v>55</v>
      </c>
      <c r="B12" s="11" t="s">
        <v>56</v>
      </c>
      <c r="C12" s="11" t="s">
        <v>57</v>
      </c>
      <c r="D12" s="11" t="s">
        <v>58</v>
      </c>
      <c r="E12" s="11" t="s">
        <v>59</v>
      </c>
      <c r="F12" s="11" t="s">
        <v>26</v>
      </c>
      <c r="G12" s="11" t="s">
        <v>60</v>
      </c>
      <c r="H12" s="11" t="s">
        <v>35</v>
      </c>
      <c r="I12" s="11" t="s">
        <v>19</v>
      </c>
      <c r="J12" s="20" t="s">
        <v>61</v>
      </c>
    </row>
    <row r="13" spans="1:10" ht="45" customHeight="1" x14ac:dyDescent="0.25">
      <c r="A13" s="11" t="s">
        <v>62</v>
      </c>
      <c r="B13" s="11" t="s">
        <v>63</v>
      </c>
      <c r="C13" s="11" t="s">
        <v>23</v>
      </c>
      <c r="D13" s="11" t="s">
        <v>64</v>
      </c>
      <c r="E13" s="11" t="s">
        <v>65</v>
      </c>
      <c r="F13" s="11" t="s">
        <v>26</v>
      </c>
      <c r="G13" s="11" t="s">
        <v>66</v>
      </c>
      <c r="H13" s="11" t="s">
        <v>18</v>
      </c>
      <c r="I13" s="11" t="s">
        <v>19</v>
      </c>
      <c r="J13" s="20" t="s">
        <v>67</v>
      </c>
    </row>
    <row r="14" spans="1:10" ht="45" customHeight="1" x14ac:dyDescent="0.25">
      <c r="A14" s="11" t="s">
        <v>68</v>
      </c>
      <c r="B14" s="11" t="s">
        <v>69</v>
      </c>
      <c r="C14" s="11" t="s">
        <v>23</v>
      </c>
      <c r="D14" s="11" t="s">
        <v>70</v>
      </c>
      <c r="E14" s="11" t="s">
        <v>71</v>
      </c>
      <c r="F14" s="11" t="s">
        <v>26</v>
      </c>
      <c r="G14" s="11" t="s">
        <v>72</v>
      </c>
      <c r="H14" s="11" t="s">
        <v>18</v>
      </c>
      <c r="I14" s="11" t="s">
        <v>19</v>
      </c>
      <c r="J14" s="20" t="s">
        <v>67</v>
      </c>
    </row>
    <row r="15" spans="1:10" ht="45" customHeight="1" x14ac:dyDescent="0.25">
      <c r="A15" s="11" t="s">
        <v>73</v>
      </c>
      <c r="B15" s="11" t="s">
        <v>74</v>
      </c>
      <c r="C15" s="11" t="s">
        <v>75</v>
      </c>
      <c r="D15" s="11" t="s">
        <v>76</v>
      </c>
      <c r="E15" s="11" t="s">
        <v>77</v>
      </c>
      <c r="F15" s="11" t="s">
        <v>26</v>
      </c>
      <c r="G15" s="11" t="s">
        <v>78</v>
      </c>
      <c r="H15" s="11" t="s">
        <v>18</v>
      </c>
      <c r="I15" s="11" t="s">
        <v>19</v>
      </c>
      <c r="J15" s="20" t="s">
        <v>67</v>
      </c>
    </row>
    <row r="16" spans="1:10" ht="45" customHeight="1" x14ac:dyDescent="0.25">
      <c r="A16" s="11" t="s">
        <v>79</v>
      </c>
      <c r="B16" s="11" t="s">
        <v>80</v>
      </c>
      <c r="C16" s="11" t="s">
        <v>81</v>
      </c>
      <c r="D16" s="11" t="s">
        <v>82</v>
      </c>
      <c r="E16" s="11" t="s">
        <v>83</v>
      </c>
      <c r="F16" s="11" t="s">
        <v>26</v>
      </c>
      <c r="G16" s="11" t="s">
        <v>84</v>
      </c>
      <c r="H16" s="11" t="s">
        <v>28</v>
      </c>
      <c r="I16" s="11" t="s">
        <v>19</v>
      </c>
      <c r="J16" s="20" t="s">
        <v>85</v>
      </c>
    </row>
    <row r="17" spans="1:10" ht="45" customHeight="1" x14ac:dyDescent="0.25">
      <c r="A17" s="11" t="s">
        <v>86</v>
      </c>
      <c r="B17" s="11" t="s">
        <v>87</v>
      </c>
      <c r="C17" s="11" t="s">
        <v>88</v>
      </c>
      <c r="D17" s="11" t="s">
        <v>89</v>
      </c>
      <c r="E17" s="11" t="s">
        <v>90</v>
      </c>
      <c r="F17" s="11" t="s">
        <v>16</v>
      </c>
      <c r="G17" s="11" t="s">
        <v>91</v>
      </c>
      <c r="H17" s="11" t="s">
        <v>92</v>
      </c>
      <c r="I17" s="11" t="s">
        <v>19</v>
      </c>
      <c r="J17" s="20" t="s">
        <v>85</v>
      </c>
    </row>
    <row r="18" spans="1:10" ht="45" customHeight="1" x14ac:dyDescent="0.25">
      <c r="A18" s="11" t="s">
        <v>93</v>
      </c>
      <c r="B18" s="11" t="s">
        <v>94</v>
      </c>
      <c r="C18" s="11" t="s">
        <v>95</v>
      </c>
      <c r="D18" s="11" t="s">
        <v>96</v>
      </c>
      <c r="E18" s="11" t="s">
        <v>97</v>
      </c>
      <c r="F18" s="11" t="s">
        <v>16</v>
      </c>
      <c r="G18" s="11" t="s">
        <v>98</v>
      </c>
      <c r="H18" s="11" t="s">
        <v>92</v>
      </c>
      <c r="I18" s="11" t="s">
        <v>19</v>
      </c>
      <c r="J18" s="20" t="s">
        <v>85</v>
      </c>
    </row>
    <row r="19" spans="1:10" ht="45" customHeight="1" x14ac:dyDescent="0.25">
      <c r="A19" s="11" t="s">
        <v>99</v>
      </c>
      <c r="B19" s="11" t="s">
        <v>100</v>
      </c>
      <c r="C19" s="11" t="s">
        <v>101</v>
      </c>
      <c r="D19" s="11" t="s">
        <v>102</v>
      </c>
      <c r="E19" s="11" t="s">
        <v>103</v>
      </c>
      <c r="F19" s="11" t="s">
        <v>16</v>
      </c>
      <c r="G19" s="11" t="s">
        <v>104</v>
      </c>
      <c r="H19" s="11" t="s">
        <v>92</v>
      </c>
      <c r="I19" s="11" t="s">
        <v>19</v>
      </c>
      <c r="J19" s="20" t="s">
        <v>85</v>
      </c>
    </row>
    <row r="20" spans="1:10" ht="45" customHeight="1" x14ac:dyDescent="0.25">
      <c r="A20" s="11" t="s">
        <v>105</v>
      </c>
      <c r="B20" s="11" t="s">
        <v>106</v>
      </c>
      <c r="C20" s="11" t="s">
        <v>107</v>
      </c>
      <c r="D20" s="11" t="s">
        <v>108</v>
      </c>
      <c r="E20" s="11" t="s">
        <v>109</v>
      </c>
      <c r="F20" s="11" t="s">
        <v>16</v>
      </c>
      <c r="G20" s="11" t="s">
        <v>110</v>
      </c>
      <c r="H20" s="11" t="s">
        <v>92</v>
      </c>
      <c r="I20" s="11" t="s">
        <v>19</v>
      </c>
      <c r="J20" s="20" t="s">
        <v>111</v>
      </c>
    </row>
    <row r="21" spans="1:10" ht="45" customHeight="1" x14ac:dyDescent="0.25">
      <c r="A21" s="11" t="s">
        <v>112</v>
      </c>
      <c r="B21" s="11" t="s">
        <v>113</v>
      </c>
      <c r="C21" s="11" t="s">
        <v>107</v>
      </c>
      <c r="D21" s="11" t="s">
        <v>114</v>
      </c>
      <c r="E21" s="11" t="s">
        <v>115</v>
      </c>
      <c r="F21" s="11" t="s">
        <v>116</v>
      </c>
      <c r="G21" s="11" t="s">
        <v>117</v>
      </c>
      <c r="H21" s="11" t="s">
        <v>18</v>
      </c>
      <c r="I21" s="11" t="s">
        <v>19</v>
      </c>
      <c r="J21" s="20" t="s">
        <v>111</v>
      </c>
    </row>
    <row r="22" spans="1:10" ht="45" customHeight="1" x14ac:dyDescent="0.25">
      <c r="A22" s="11" t="s">
        <v>118</v>
      </c>
      <c r="B22" s="11" t="s">
        <v>119</v>
      </c>
      <c r="C22" s="11" t="s">
        <v>107</v>
      </c>
      <c r="D22" s="11" t="s">
        <v>120</v>
      </c>
      <c r="E22" s="11" t="s">
        <v>121</v>
      </c>
      <c r="F22" s="11" t="s">
        <v>122</v>
      </c>
      <c r="G22" s="11" t="s">
        <v>123</v>
      </c>
      <c r="H22" s="11" t="s">
        <v>28</v>
      </c>
      <c r="I22" s="11" t="s">
        <v>19</v>
      </c>
      <c r="J22" s="20" t="s">
        <v>111</v>
      </c>
    </row>
    <row r="23" spans="1:10" ht="45" customHeight="1" x14ac:dyDescent="0.25">
      <c r="A23" s="11" t="s">
        <v>124</v>
      </c>
      <c r="B23" s="11" t="s">
        <v>125</v>
      </c>
      <c r="C23" s="11" t="s">
        <v>126</v>
      </c>
      <c r="D23" s="11" t="s">
        <v>127</v>
      </c>
      <c r="E23" s="11" t="s">
        <v>128</v>
      </c>
      <c r="F23" s="11" t="s">
        <v>16</v>
      </c>
      <c r="G23" s="11" t="s">
        <v>129</v>
      </c>
      <c r="H23" s="11" t="s">
        <v>18</v>
      </c>
      <c r="I23" s="11" t="s">
        <v>19</v>
      </c>
      <c r="J23" s="20" t="s">
        <v>111</v>
      </c>
    </row>
    <row r="24" spans="1:10" ht="45" customHeight="1" x14ac:dyDescent="0.25">
      <c r="A24" s="11" t="s">
        <v>130</v>
      </c>
      <c r="B24" s="11" t="s">
        <v>131</v>
      </c>
      <c r="C24" s="11" t="s">
        <v>23</v>
      </c>
      <c r="D24" s="11" t="s">
        <v>132</v>
      </c>
      <c r="E24" s="11" t="s">
        <v>133</v>
      </c>
      <c r="F24" s="11" t="s">
        <v>116</v>
      </c>
      <c r="G24" s="11" t="s">
        <v>134</v>
      </c>
      <c r="H24" s="11" t="s">
        <v>18</v>
      </c>
      <c r="I24" s="11" t="s">
        <v>19</v>
      </c>
      <c r="J24" s="20" t="s">
        <v>135</v>
      </c>
    </row>
    <row r="25" spans="1:10" ht="45" customHeight="1" x14ac:dyDescent="0.25">
      <c r="A25" s="11" t="s">
        <v>136</v>
      </c>
      <c r="B25" s="11" t="s">
        <v>137</v>
      </c>
      <c r="C25" s="11" t="s">
        <v>138</v>
      </c>
      <c r="D25" s="11" t="s">
        <v>139</v>
      </c>
      <c r="E25" s="11" t="s">
        <v>140</v>
      </c>
      <c r="F25" s="11" t="s">
        <v>26</v>
      </c>
      <c r="G25" s="11" t="s">
        <v>141</v>
      </c>
      <c r="H25" s="11" t="s">
        <v>28</v>
      </c>
      <c r="I25" s="11" t="s">
        <v>19</v>
      </c>
      <c r="J25" s="20" t="s">
        <v>135</v>
      </c>
    </row>
    <row r="26" spans="1:10" ht="45" customHeight="1" x14ac:dyDescent="0.25">
      <c r="A26" s="11" t="s">
        <v>142</v>
      </c>
      <c r="B26" s="11" t="s">
        <v>143</v>
      </c>
      <c r="C26" s="11" t="s">
        <v>144</v>
      </c>
      <c r="D26" s="11" t="s">
        <v>145</v>
      </c>
      <c r="E26" s="11" t="s">
        <v>146</v>
      </c>
      <c r="F26" s="11" t="s">
        <v>26</v>
      </c>
      <c r="G26" s="11" t="s">
        <v>147</v>
      </c>
      <c r="H26" s="11" t="s">
        <v>18</v>
      </c>
      <c r="I26" s="11" t="s">
        <v>19</v>
      </c>
      <c r="J26" s="20" t="s">
        <v>135</v>
      </c>
    </row>
    <row r="27" spans="1:10" ht="45" customHeight="1" x14ac:dyDescent="0.25">
      <c r="A27" s="11" t="s">
        <v>148</v>
      </c>
      <c r="B27" s="11" t="s">
        <v>149</v>
      </c>
      <c r="C27" s="11" t="s">
        <v>23</v>
      </c>
      <c r="D27" s="11" t="s">
        <v>150</v>
      </c>
      <c r="E27" s="11" t="s">
        <v>151</v>
      </c>
      <c r="F27" s="11" t="s">
        <v>26</v>
      </c>
      <c r="G27" s="11" t="s">
        <v>152</v>
      </c>
      <c r="H27" s="11" t="s">
        <v>18</v>
      </c>
      <c r="I27" s="11" t="s">
        <v>19</v>
      </c>
      <c r="J27" s="20" t="s">
        <v>135</v>
      </c>
    </row>
    <row r="28" spans="1:10" ht="45" customHeight="1" x14ac:dyDescent="0.25">
      <c r="A28" s="11" t="s">
        <v>153</v>
      </c>
      <c r="B28" s="11" t="s">
        <v>154</v>
      </c>
      <c r="C28" s="11" t="s">
        <v>155</v>
      </c>
      <c r="D28" s="11" t="s">
        <v>156</v>
      </c>
      <c r="E28" s="11" t="s">
        <v>157</v>
      </c>
      <c r="F28" s="11" t="s">
        <v>122</v>
      </c>
      <c r="G28" s="11" t="s">
        <v>158</v>
      </c>
      <c r="H28" s="11" t="s">
        <v>28</v>
      </c>
      <c r="I28" s="11" t="s">
        <v>19</v>
      </c>
      <c r="J28" s="20" t="s">
        <v>135</v>
      </c>
    </row>
    <row r="29" spans="1:10" ht="45" customHeight="1" x14ac:dyDescent="0.25">
      <c r="A29" s="11" t="s">
        <v>159</v>
      </c>
      <c r="B29" s="11" t="s">
        <v>160</v>
      </c>
      <c r="C29" s="11" t="s">
        <v>161</v>
      </c>
      <c r="D29" s="11" t="s">
        <v>162</v>
      </c>
      <c r="E29" s="11" t="s">
        <v>163</v>
      </c>
      <c r="F29" s="11" t="s">
        <v>164</v>
      </c>
      <c r="G29" s="11" t="s">
        <v>165</v>
      </c>
      <c r="H29" s="11" t="s">
        <v>18</v>
      </c>
      <c r="I29" s="11" t="s">
        <v>19</v>
      </c>
      <c r="J29" s="20" t="s">
        <v>135</v>
      </c>
    </row>
    <row r="30" spans="1:10" ht="45" customHeight="1" x14ac:dyDescent="0.25">
      <c r="A30" s="11" t="s">
        <v>166</v>
      </c>
      <c r="B30" s="11" t="s">
        <v>167</v>
      </c>
      <c r="C30" s="11" t="s">
        <v>168</v>
      </c>
      <c r="D30" s="11" t="s">
        <v>169</v>
      </c>
      <c r="E30" s="11" t="s">
        <v>170</v>
      </c>
      <c r="F30" s="11" t="s">
        <v>116</v>
      </c>
      <c r="G30" s="11" t="s">
        <v>171</v>
      </c>
      <c r="H30" s="11" t="s">
        <v>18</v>
      </c>
      <c r="I30" s="11" t="s">
        <v>19</v>
      </c>
      <c r="J30" s="20" t="s">
        <v>135</v>
      </c>
    </row>
    <row r="31" spans="1:10" ht="45" customHeight="1" x14ac:dyDescent="0.25">
      <c r="A31" s="11" t="s">
        <v>172</v>
      </c>
      <c r="B31" s="11" t="s">
        <v>173</v>
      </c>
      <c r="C31" s="11" t="s">
        <v>174</v>
      </c>
      <c r="D31" s="11" t="s">
        <v>175</v>
      </c>
      <c r="E31" s="11" t="s">
        <v>176</v>
      </c>
      <c r="F31" s="11" t="s">
        <v>164</v>
      </c>
      <c r="G31" s="11" t="s">
        <v>177</v>
      </c>
      <c r="H31" s="11" t="s">
        <v>178</v>
      </c>
      <c r="I31" s="11" t="s">
        <v>19</v>
      </c>
      <c r="J31" s="20" t="s">
        <v>20</v>
      </c>
    </row>
    <row r="32" spans="1:10" ht="45" customHeight="1" x14ac:dyDescent="0.25">
      <c r="A32" s="11" t="s">
        <v>179</v>
      </c>
      <c r="B32" s="11" t="s">
        <v>180</v>
      </c>
      <c r="C32" s="11" t="s">
        <v>181</v>
      </c>
      <c r="D32" s="11" t="s">
        <v>182</v>
      </c>
      <c r="E32" s="11" t="s">
        <v>183</v>
      </c>
      <c r="F32" s="11" t="s">
        <v>164</v>
      </c>
      <c r="G32" s="11" t="s">
        <v>184</v>
      </c>
      <c r="H32" s="11" t="s">
        <v>178</v>
      </c>
      <c r="I32" s="11" t="s">
        <v>19</v>
      </c>
      <c r="J32" s="20" t="s">
        <v>20</v>
      </c>
    </row>
    <row r="33" spans="1:10" ht="45" customHeight="1" x14ac:dyDescent="0.25">
      <c r="A33" s="11" t="s">
        <v>185</v>
      </c>
      <c r="B33" s="11" t="s">
        <v>186</v>
      </c>
      <c r="C33" s="11" t="s">
        <v>187</v>
      </c>
      <c r="D33" s="11" t="s">
        <v>188</v>
      </c>
      <c r="E33" s="11" t="s">
        <v>189</v>
      </c>
      <c r="F33" s="11" t="s">
        <v>26</v>
      </c>
      <c r="G33" s="11" t="s">
        <v>190</v>
      </c>
      <c r="H33" s="11" t="s">
        <v>178</v>
      </c>
      <c r="I33" s="11" t="s">
        <v>19</v>
      </c>
      <c r="J33" s="20" t="s">
        <v>20</v>
      </c>
    </row>
    <row r="34" spans="1:10" ht="45" customHeight="1" x14ac:dyDescent="0.25">
      <c r="A34" s="11" t="s">
        <v>191</v>
      </c>
      <c r="B34" s="11" t="s">
        <v>192</v>
      </c>
      <c r="C34" s="11" t="s">
        <v>193</v>
      </c>
      <c r="D34" s="11" t="s">
        <v>194</v>
      </c>
      <c r="E34" s="11" t="s">
        <v>195</v>
      </c>
      <c r="F34" s="11" t="s">
        <v>164</v>
      </c>
      <c r="G34" s="11" t="s">
        <v>196</v>
      </c>
      <c r="H34" s="11" t="s">
        <v>18</v>
      </c>
      <c r="I34" s="11" t="s">
        <v>19</v>
      </c>
      <c r="J34" s="20" t="s">
        <v>20</v>
      </c>
    </row>
    <row r="35" spans="1:10" ht="45" customHeight="1" x14ac:dyDescent="0.25">
      <c r="A35" s="11" t="s">
        <v>197</v>
      </c>
      <c r="B35" s="11" t="s">
        <v>198</v>
      </c>
      <c r="C35" s="11" t="s">
        <v>199</v>
      </c>
      <c r="D35" s="11" t="s">
        <v>200</v>
      </c>
      <c r="E35" s="11" t="s">
        <v>201</v>
      </c>
      <c r="F35" s="11" t="s">
        <v>164</v>
      </c>
      <c r="G35" s="11" t="s">
        <v>202</v>
      </c>
      <c r="H35" s="11" t="s">
        <v>178</v>
      </c>
      <c r="I35" s="11" t="s">
        <v>19</v>
      </c>
      <c r="J35" s="20" t="s">
        <v>61</v>
      </c>
    </row>
    <row r="36" spans="1:10" ht="45" customHeight="1" x14ac:dyDescent="0.25">
      <c r="A36" s="11" t="s">
        <v>203</v>
      </c>
      <c r="B36" s="11" t="s">
        <v>204</v>
      </c>
      <c r="C36" s="11" t="s">
        <v>205</v>
      </c>
      <c r="D36" s="11" t="s">
        <v>206</v>
      </c>
      <c r="E36" s="11" t="s">
        <v>207</v>
      </c>
      <c r="F36" s="11" t="s">
        <v>116</v>
      </c>
      <c r="G36" s="11" t="s">
        <v>208</v>
      </c>
      <c r="H36" s="11" t="s">
        <v>18</v>
      </c>
      <c r="I36" s="11" t="s">
        <v>19</v>
      </c>
      <c r="J36" s="20" t="s">
        <v>209</v>
      </c>
    </row>
    <row r="37" spans="1:10" ht="45" customHeight="1" x14ac:dyDescent="0.25">
      <c r="A37" s="11" t="s">
        <v>210</v>
      </c>
      <c r="B37" s="11" t="s">
        <v>211</v>
      </c>
      <c r="C37" s="11" t="s">
        <v>212</v>
      </c>
      <c r="D37" s="11" t="s">
        <v>213</v>
      </c>
      <c r="E37" s="11" t="s">
        <v>214</v>
      </c>
      <c r="F37" s="11" t="s">
        <v>116</v>
      </c>
      <c r="G37" s="11" t="s">
        <v>215</v>
      </c>
      <c r="H37" s="11" t="s">
        <v>18</v>
      </c>
      <c r="I37" s="11" t="s">
        <v>19</v>
      </c>
      <c r="J37" s="20" t="s">
        <v>209</v>
      </c>
    </row>
    <row r="38" spans="1:10" ht="45" customHeight="1" x14ac:dyDescent="0.25">
      <c r="A38" s="11" t="s">
        <v>216</v>
      </c>
      <c r="B38" s="11" t="s">
        <v>217</v>
      </c>
      <c r="C38" s="11" t="s">
        <v>218</v>
      </c>
      <c r="D38" s="11" t="s">
        <v>219</v>
      </c>
      <c r="E38" s="11" t="s">
        <v>220</v>
      </c>
      <c r="F38" s="11" t="s">
        <v>16</v>
      </c>
      <c r="G38" s="11" t="s">
        <v>221</v>
      </c>
      <c r="H38" s="11" t="s">
        <v>18</v>
      </c>
      <c r="I38" s="11" t="s">
        <v>19</v>
      </c>
      <c r="J38" s="20" t="s">
        <v>20</v>
      </c>
    </row>
    <row r="39" spans="1:10" ht="45" customHeight="1" x14ac:dyDescent="0.25">
      <c r="A39" s="11" t="s">
        <v>222</v>
      </c>
      <c r="B39" s="11" t="s">
        <v>223</v>
      </c>
      <c r="C39" s="11" t="s">
        <v>224</v>
      </c>
      <c r="D39" s="11" t="s">
        <v>225</v>
      </c>
      <c r="E39" s="11" t="s">
        <v>226</v>
      </c>
      <c r="F39" s="11" t="s">
        <v>122</v>
      </c>
      <c r="G39" s="11" t="s">
        <v>227</v>
      </c>
      <c r="H39" s="11" t="s">
        <v>28</v>
      </c>
      <c r="I39" s="11" t="s">
        <v>19</v>
      </c>
      <c r="J39" s="20" t="s">
        <v>20</v>
      </c>
    </row>
    <row r="40" spans="1:10" ht="45" customHeight="1" x14ac:dyDescent="0.25">
      <c r="A40" s="11" t="s">
        <v>228</v>
      </c>
      <c r="B40" s="11" t="s">
        <v>229</v>
      </c>
      <c r="C40" s="11" t="s">
        <v>199</v>
      </c>
      <c r="D40" s="11" t="s">
        <v>230</v>
      </c>
      <c r="E40" s="11" t="s">
        <v>231</v>
      </c>
      <c r="F40" s="11" t="s">
        <v>26</v>
      </c>
      <c r="G40" s="11" t="s">
        <v>232</v>
      </c>
      <c r="H40" s="11" t="s">
        <v>18</v>
      </c>
      <c r="I40" s="11" t="s">
        <v>19</v>
      </c>
      <c r="J40" s="20" t="s">
        <v>20</v>
      </c>
    </row>
    <row r="41" spans="1:10" ht="45" customHeight="1" x14ac:dyDescent="0.25">
      <c r="A41" s="11" t="s">
        <v>233</v>
      </c>
      <c r="B41" s="11" t="s">
        <v>234</v>
      </c>
      <c r="C41" s="11" t="s">
        <v>235</v>
      </c>
      <c r="D41" s="11" t="s">
        <v>236</v>
      </c>
      <c r="E41" s="11" t="s">
        <v>237</v>
      </c>
      <c r="F41" s="11" t="s">
        <v>116</v>
      </c>
      <c r="G41" s="11" t="s">
        <v>238</v>
      </c>
      <c r="H41" s="11" t="s">
        <v>18</v>
      </c>
      <c r="I41" s="11" t="s">
        <v>19</v>
      </c>
      <c r="J41" s="20" t="s">
        <v>20</v>
      </c>
    </row>
    <row r="42" spans="1:10" ht="45" customHeight="1" x14ac:dyDescent="0.25">
      <c r="A42" s="11" t="s">
        <v>239</v>
      </c>
      <c r="B42" s="11" t="s">
        <v>240</v>
      </c>
      <c r="C42" s="11" t="s">
        <v>101</v>
      </c>
      <c r="D42" s="11" t="s">
        <v>241</v>
      </c>
      <c r="E42" s="11" t="s">
        <v>242</v>
      </c>
      <c r="F42" s="11" t="s">
        <v>16</v>
      </c>
      <c r="G42" s="11" t="s">
        <v>243</v>
      </c>
      <c r="H42" s="11" t="s">
        <v>92</v>
      </c>
      <c r="I42" s="11" t="s">
        <v>19</v>
      </c>
      <c r="J42" s="20" t="s">
        <v>61</v>
      </c>
    </row>
    <row r="43" spans="1:10" ht="45" customHeight="1" x14ac:dyDescent="0.25">
      <c r="A43" s="11" t="s">
        <v>244</v>
      </c>
      <c r="B43" s="11" t="s">
        <v>245</v>
      </c>
      <c r="C43" s="11" t="s">
        <v>246</v>
      </c>
      <c r="D43" s="11" t="s">
        <v>247</v>
      </c>
      <c r="E43" s="11" t="s">
        <v>248</v>
      </c>
      <c r="F43" s="11" t="s">
        <v>116</v>
      </c>
      <c r="G43" s="11" t="s">
        <v>249</v>
      </c>
      <c r="H43" s="11" t="s">
        <v>18</v>
      </c>
      <c r="I43" s="11" t="s">
        <v>19</v>
      </c>
      <c r="J43" s="20" t="s">
        <v>250</v>
      </c>
    </row>
    <row r="44" spans="1:10" ht="45" customHeight="1" x14ac:dyDescent="0.25">
      <c r="A44" s="11" t="s">
        <v>251</v>
      </c>
      <c r="B44" s="11" t="s">
        <v>252</v>
      </c>
      <c r="C44" s="11" t="s">
        <v>253</v>
      </c>
      <c r="D44" s="11" t="s">
        <v>254</v>
      </c>
      <c r="E44" s="11" t="s">
        <v>255</v>
      </c>
      <c r="F44" s="11" t="s">
        <v>16</v>
      </c>
      <c r="G44" s="11" t="s">
        <v>256</v>
      </c>
      <c r="H44" s="11" t="s">
        <v>18</v>
      </c>
      <c r="I44" s="11" t="s">
        <v>19</v>
      </c>
      <c r="J44" s="20" t="s">
        <v>250</v>
      </c>
    </row>
    <row r="45" spans="1:10" ht="45" customHeight="1" x14ac:dyDescent="0.25">
      <c r="A45" s="11" t="s">
        <v>257</v>
      </c>
      <c r="B45" s="11" t="s">
        <v>258</v>
      </c>
      <c r="C45" s="11" t="s">
        <v>259</v>
      </c>
      <c r="D45" s="11" t="s">
        <v>260</v>
      </c>
      <c r="E45" s="11" t="s">
        <v>261</v>
      </c>
      <c r="F45" s="11" t="s">
        <v>16</v>
      </c>
      <c r="G45" s="11" t="s">
        <v>262</v>
      </c>
      <c r="H45" s="11" t="s">
        <v>92</v>
      </c>
      <c r="I45" s="11" t="s">
        <v>19</v>
      </c>
      <c r="J45" s="20" t="s">
        <v>263</v>
      </c>
    </row>
    <row r="46" spans="1:10" ht="45" customHeight="1" x14ac:dyDescent="0.25">
      <c r="A46" s="11" t="s">
        <v>264</v>
      </c>
      <c r="B46" s="11" t="s">
        <v>265</v>
      </c>
      <c r="C46" s="11" t="s">
        <v>266</v>
      </c>
      <c r="D46" s="11" t="s">
        <v>267</v>
      </c>
      <c r="E46" s="11" t="s">
        <v>268</v>
      </c>
      <c r="F46" s="11" t="s">
        <v>16</v>
      </c>
      <c r="G46" s="11" t="s">
        <v>269</v>
      </c>
      <c r="H46" s="11" t="s">
        <v>92</v>
      </c>
      <c r="I46" s="11" t="s">
        <v>19</v>
      </c>
      <c r="J46" s="20" t="s">
        <v>263</v>
      </c>
    </row>
    <row r="47" spans="1:10" ht="45" customHeight="1" x14ac:dyDescent="0.25">
      <c r="A47" s="11" t="s">
        <v>270</v>
      </c>
      <c r="B47" s="11" t="s">
        <v>271</v>
      </c>
      <c r="C47" s="11" t="s">
        <v>272</v>
      </c>
      <c r="D47" s="11" t="s">
        <v>273</v>
      </c>
      <c r="E47" s="11" t="s">
        <v>274</v>
      </c>
      <c r="F47" s="11" t="s">
        <v>116</v>
      </c>
      <c r="G47" s="11" t="s">
        <v>275</v>
      </c>
      <c r="H47" s="11" t="s">
        <v>18</v>
      </c>
      <c r="I47" s="11" t="s">
        <v>19</v>
      </c>
      <c r="J47" s="20" t="s">
        <v>20</v>
      </c>
    </row>
    <row r="48" spans="1:10" ht="45" customHeight="1" x14ac:dyDescent="0.25">
      <c r="A48" s="11" t="s">
        <v>276</v>
      </c>
      <c r="B48" s="11" t="s">
        <v>277</v>
      </c>
      <c r="C48" s="11" t="s">
        <v>278</v>
      </c>
      <c r="D48" s="11" t="s">
        <v>279</v>
      </c>
      <c r="E48" s="11" t="s">
        <v>280</v>
      </c>
      <c r="F48" s="11" t="s">
        <v>116</v>
      </c>
      <c r="G48" s="11" t="s">
        <v>281</v>
      </c>
      <c r="H48" s="11" t="s">
        <v>18</v>
      </c>
      <c r="I48" s="11" t="s">
        <v>19</v>
      </c>
      <c r="J48" s="20" t="s">
        <v>61</v>
      </c>
    </row>
  </sheetData>
  <mergeCells count="3">
    <mergeCell ref="A1:J1"/>
    <mergeCell ref="A2:J2"/>
    <mergeCell ref="A4:J4"/>
  </mergeCell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2"/>
  <sheetViews>
    <sheetView showGridLines="0" workbookViewId="0">
      <pane ySplit="5" topLeftCell="A6" activePane="bottomLeft" state="frozen"/>
      <selection pane="bottomLeft" sqref="A1:K1"/>
    </sheetView>
  </sheetViews>
  <sheetFormatPr defaultRowHeight="15" x14ac:dyDescent="0.25"/>
  <cols>
    <col min="1" max="1" width="22.85546875" customWidth="1"/>
    <col min="2" max="2" width="18.140625" customWidth="1"/>
    <col min="3" max="3" width="34.28515625" customWidth="1"/>
    <col min="4" max="4" width="28.5703125" customWidth="1"/>
    <col min="5" max="5" width="34.28515625" customWidth="1"/>
    <col min="6" max="6" width="29.5703125" customWidth="1"/>
    <col min="7" max="7" width="30.42578125" customWidth="1"/>
    <col min="8" max="8" width="32.42578125" customWidth="1"/>
    <col min="9" max="9" width="34.28515625" customWidth="1"/>
    <col min="10" max="10" width="31.42578125" customWidth="1"/>
    <col min="11" max="11" width="32.42578125" customWidth="1"/>
  </cols>
  <sheetData>
    <row r="1" spans="1:11" ht="30" customHeight="1" x14ac:dyDescent="0.25">
      <c r="A1" s="3" t="s">
        <v>671</v>
      </c>
      <c r="B1" s="3"/>
      <c r="C1" s="3"/>
      <c r="D1" s="3"/>
      <c r="E1" s="3"/>
      <c r="F1" s="3"/>
      <c r="G1" s="3"/>
      <c r="H1" s="3"/>
      <c r="I1" s="3"/>
      <c r="J1" s="3"/>
      <c r="K1" s="3"/>
    </row>
    <row r="2" spans="1:11" ht="30" customHeight="1" x14ac:dyDescent="0.25">
      <c r="A2" s="4" t="s">
        <v>693</v>
      </c>
      <c r="B2" s="4"/>
      <c r="C2" s="4"/>
      <c r="D2" s="4"/>
      <c r="E2" s="4"/>
      <c r="F2" s="4"/>
      <c r="G2" s="4"/>
      <c r="H2" s="4"/>
      <c r="I2" s="4"/>
      <c r="J2" s="4"/>
      <c r="K2" s="4"/>
    </row>
    <row r="3" spans="1:11" ht="9" customHeight="1" x14ac:dyDescent="0.25">
      <c r="A3" s="21"/>
      <c r="B3" s="21"/>
      <c r="C3" s="21"/>
      <c r="D3" s="21"/>
      <c r="E3" s="21"/>
      <c r="F3" s="21"/>
      <c r="G3" s="21"/>
      <c r="H3" s="21"/>
      <c r="I3" s="21"/>
      <c r="J3" s="21"/>
      <c r="K3" s="21"/>
    </row>
    <row r="4" spans="1:11" ht="21.95" customHeight="1" x14ac:dyDescent="0.25">
      <c r="A4" s="6" t="s">
        <v>694</v>
      </c>
      <c r="B4" s="6"/>
      <c r="C4" s="6"/>
      <c r="D4" s="6"/>
      <c r="E4" s="6"/>
      <c r="F4" s="6"/>
      <c r="G4" s="6"/>
      <c r="H4" s="6"/>
      <c r="I4" s="6"/>
      <c r="J4" s="6"/>
      <c r="K4" s="6"/>
    </row>
    <row r="5" spans="1:11" ht="30" customHeight="1" x14ac:dyDescent="0.25">
      <c r="A5" s="13" t="s">
        <v>282</v>
      </c>
      <c r="B5" s="13" t="s">
        <v>283</v>
      </c>
      <c r="C5" s="13" t="s">
        <v>284</v>
      </c>
      <c r="D5" s="13" t="s">
        <v>285</v>
      </c>
      <c r="E5" s="13" t="s">
        <v>286</v>
      </c>
      <c r="F5" s="13" t="s">
        <v>287</v>
      </c>
      <c r="G5" s="13" t="s">
        <v>288</v>
      </c>
      <c r="H5" s="13" t="s">
        <v>289</v>
      </c>
      <c r="I5" s="13" t="s">
        <v>290</v>
      </c>
      <c r="J5" s="13" t="s">
        <v>291</v>
      </c>
      <c r="K5" s="13" t="s">
        <v>292</v>
      </c>
    </row>
    <row r="6" spans="1:11" ht="45" customHeight="1" x14ac:dyDescent="0.25">
      <c r="A6" s="11" t="s">
        <v>293</v>
      </c>
      <c r="B6" s="11" t="s">
        <v>3</v>
      </c>
      <c r="C6" s="11" t="s">
        <v>294</v>
      </c>
      <c r="D6" s="11" t="s">
        <v>295</v>
      </c>
      <c r="E6" s="11" t="s">
        <v>296</v>
      </c>
      <c r="F6" s="11" t="s">
        <v>297</v>
      </c>
      <c r="G6" s="11" t="s">
        <v>298</v>
      </c>
      <c r="H6" s="11" t="s">
        <v>299</v>
      </c>
      <c r="I6" s="11" t="s">
        <v>300</v>
      </c>
      <c r="J6" s="11" t="s">
        <v>301</v>
      </c>
      <c r="K6" s="11" t="s">
        <v>302</v>
      </c>
    </row>
    <row r="7" spans="1:11" ht="45" customHeight="1" x14ac:dyDescent="0.25">
      <c r="A7" s="11" t="s">
        <v>303</v>
      </c>
      <c r="B7" s="11" t="s">
        <v>3</v>
      </c>
      <c r="C7" s="11" t="s">
        <v>304</v>
      </c>
      <c r="D7" s="11" t="s">
        <v>305</v>
      </c>
      <c r="E7" s="11" t="s">
        <v>306</v>
      </c>
      <c r="F7" s="11" t="s">
        <v>307</v>
      </c>
      <c r="G7" s="11" t="s">
        <v>308</v>
      </c>
      <c r="H7" s="11" t="s">
        <v>309</v>
      </c>
      <c r="I7" s="11" t="s">
        <v>310</v>
      </c>
      <c r="J7" s="11" t="s">
        <v>311</v>
      </c>
      <c r="K7" s="11" t="s">
        <v>312</v>
      </c>
    </row>
    <row r="8" spans="1:11" ht="45" customHeight="1" x14ac:dyDescent="0.25">
      <c r="A8" s="11" t="s">
        <v>313</v>
      </c>
      <c r="B8" s="11" t="s">
        <v>314</v>
      </c>
      <c r="C8" s="11" t="s">
        <v>315</v>
      </c>
      <c r="D8" s="11" t="s">
        <v>316</v>
      </c>
      <c r="E8" s="11" t="s">
        <v>317</v>
      </c>
      <c r="F8" s="11" t="s">
        <v>318</v>
      </c>
      <c r="G8" s="11" t="s">
        <v>319</v>
      </c>
      <c r="H8" s="11" t="s">
        <v>320</v>
      </c>
      <c r="I8" s="11" t="s">
        <v>321</v>
      </c>
      <c r="J8" s="11" t="s">
        <v>322</v>
      </c>
      <c r="K8" s="11" t="s">
        <v>323</v>
      </c>
    </row>
    <row r="9" spans="1:11" ht="45" customHeight="1" x14ac:dyDescent="0.25">
      <c r="A9" s="11" t="s">
        <v>324</v>
      </c>
      <c r="B9" s="11" t="s">
        <v>325</v>
      </c>
      <c r="C9" s="11" t="s">
        <v>326</v>
      </c>
      <c r="D9" s="11" t="s">
        <v>327</v>
      </c>
      <c r="E9" s="11" t="s">
        <v>328</v>
      </c>
      <c r="F9" s="11" t="s">
        <v>329</v>
      </c>
      <c r="G9" s="11" t="s">
        <v>330</v>
      </c>
      <c r="H9" s="11" t="s">
        <v>331</v>
      </c>
      <c r="I9" s="11" t="s">
        <v>332</v>
      </c>
      <c r="J9" s="11" t="s">
        <v>333</v>
      </c>
      <c r="K9" s="11" t="s">
        <v>334</v>
      </c>
    </row>
    <row r="10" spans="1:11" ht="45" customHeight="1" x14ac:dyDescent="0.25">
      <c r="A10" s="11" t="s">
        <v>335</v>
      </c>
      <c r="B10" s="11" t="s">
        <v>336</v>
      </c>
      <c r="C10" s="11" t="s">
        <v>337</v>
      </c>
      <c r="D10" s="11" t="s">
        <v>338</v>
      </c>
      <c r="E10" s="11" t="s">
        <v>339</v>
      </c>
      <c r="F10" s="11" t="s">
        <v>340</v>
      </c>
      <c r="G10" s="11" t="s">
        <v>341</v>
      </c>
      <c r="H10" s="11" t="s">
        <v>342</v>
      </c>
      <c r="I10" s="11" t="s">
        <v>343</v>
      </c>
      <c r="J10" s="11" t="s">
        <v>344</v>
      </c>
      <c r="K10" s="11" t="s">
        <v>345</v>
      </c>
    </row>
    <row r="11" spans="1:11" ht="45" customHeight="1" x14ac:dyDescent="0.25">
      <c r="A11" s="11" t="s">
        <v>346</v>
      </c>
      <c r="B11" s="11" t="s">
        <v>347</v>
      </c>
      <c r="C11" s="11" t="s">
        <v>348</v>
      </c>
      <c r="D11" s="11" t="s">
        <v>349</v>
      </c>
      <c r="E11" s="11" t="s">
        <v>350</v>
      </c>
      <c r="F11" s="11" t="s">
        <v>351</v>
      </c>
      <c r="G11" s="11" t="s">
        <v>352</v>
      </c>
      <c r="H11" s="11" t="s">
        <v>353</v>
      </c>
      <c r="I11" s="11" t="s">
        <v>354</v>
      </c>
      <c r="J11" s="11" t="s">
        <v>355</v>
      </c>
      <c r="K11" s="11" t="s">
        <v>356</v>
      </c>
    </row>
    <row r="12" spans="1:11" ht="45" customHeight="1" x14ac:dyDescent="0.25">
      <c r="A12" s="11" t="s">
        <v>357</v>
      </c>
      <c r="B12" s="11" t="s">
        <v>358</v>
      </c>
      <c r="C12" s="11" t="s">
        <v>359</v>
      </c>
      <c r="D12" s="11" t="s">
        <v>360</v>
      </c>
      <c r="E12" s="11" t="s">
        <v>361</v>
      </c>
      <c r="F12" s="11" t="s">
        <v>362</v>
      </c>
      <c r="G12" s="11" t="s">
        <v>363</v>
      </c>
      <c r="H12" s="11" t="s">
        <v>364</v>
      </c>
      <c r="I12" s="11" t="s">
        <v>365</v>
      </c>
      <c r="J12" s="11" t="s">
        <v>366</v>
      </c>
      <c r="K12" s="11" t="s">
        <v>367</v>
      </c>
    </row>
  </sheetData>
  <mergeCells count="3">
    <mergeCell ref="A1:K1"/>
    <mergeCell ref="A2:K2"/>
    <mergeCell ref="A4:K4"/>
  </mergeCells>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1"/>
  <sheetViews>
    <sheetView showGridLines="0" workbookViewId="0">
      <pane ySplit="5" topLeftCell="A6" activePane="bottomLeft" state="frozen"/>
      <selection pane="bottomLeft" sqref="A1:F1"/>
    </sheetView>
  </sheetViews>
  <sheetFormatPr defaultRowHeight="15" x14ac:dyDescent="0.25"/>
  <cols>
    <col min="1" max="1" width="25.7109375" customWidth="1"/>
    <col min="2" max="2" width="26.7109375" customWidth="1"/>
    <col min="3" max="4" width="38.140625" customWidth="1"/>
    <col min="5" max="5" width="21" customWidth="1"/>
    <col min="6" max="6" width="34.28515625" customWidth="1"/>
  </cols>
  <sheetData>
    <row r="1" spans="1:6" ht="30" customHeight="1" x14ac:dyDescent="0.25">
      <c r="A1" s="3" t="s">
        <v>673</v>
      </c>
      <c r="B1" s="3"/>
      <c r="C1" s="3"/>
      <c r="D1" s="3"/>
      <c r="E1" s="3"/>
      <c r="F1" s="3"/>
    </row>
    <row r="2" spans="1:6" ht="30" customHeight="1" x14ac:dyDescent="0.25">
      <c r="A2" s="4" t="s">
        <v>695</v>
      </c>
      <c r="B2" s="4"/>
      <c r="C2" s="4"/>
      <c r="D2" s="4"/>
      <c r="E2" s="4"/>
      <c r="F2" s="4"/>
    </row>
    <row r="3" spans="1:6" ht="9" customHeight="1" x14ac:dyDescent="0.25">
      <c r="A3" s="21"/>
      <c r="B3" s="21"/>
      <c r="C3" s="21"/>
      <c r="D3" s="21"/>
      <c r="E3" s="21"/>
      <c r="F3" s="21"/>
    </row>
    <row r="4" spans="1:6" ht="21.95" customHeight="1" x14ac:dyDescent="0.25">
      <c r="A4" s="6" t="s">
        <v>696</v>
      </c>
      <c r="B4" s="6"/>
      <c r="C4" s="6"/>
      <c r="D4" s="6"/>
      <c r="E4" s="6"/>
      <c r="F4" s="6"/>
    </row>
    <row r="5" spans="1:6" ht="30" customHeight="1" x14ac:dyDescent="0.25">
      <c r="A5" s="13" t="s">
        <v>368</v>
      </c>
      <c r="B5" s="13" t="s">
        <v>369</v>
      </c>
      <c r="C5" s="13" t="s">
        <v>370</v>
      </c>
      <c r="D5" s="13" t="s">
        <v>371</v>
      </c>
      <c r="E5" s="13" t="s">
        <v>372</v>
      </c>
      <c r="F5" s="13" t="s">
        <v>373</v>
      </c>
    </row>
    <row r="6" spans="1:6" ht="45" customHeight="1" x14ac:dyDescent="0.25">
      <c r="A6" s="11" t="s">
        <v>374</v>
      </c>
      <c r="B6" s="11" t="s">
        <v>375</v>
      </c>
      <c r="C6" s="11" t="s">
        <v>376</v>
      </c>
      <c r="D6" s="11" t="s">
        <v>377</v>
      </c>
      <c r="E6" s="11" t="s">
        <v>378</v>
      </c>
      <c r="F6" s="11" t="s">
        <v>379</v>
      </c>
    </row>
    <row r="7" spans="1:6" ht="45" customHeight="1" x14ac:dyDescent="0.25">
      <c r="A7" s="11" t="s">
        <v>380</v>
      </c>
      <c r="B7" s="11" t="s">
        <v>381</v>
      </c>
      <c r="C7" s="11" t="s">
        <v>382</v>
      </c>
      <c r="D7" s="11" t="s">
        <v>383</v>
      </c>
      <c r="E7" s="11" t="s">
        <v>384</v>
      </c>
      <c r="F7" s="11" t="s">
        <v>385</v>
      </c>
    </row>
    <row r="8" spans="1:6" ht="45" customHeight="1" x14ac:dyDescent="0.25">
      <c r="A8" s="11" t="s">
        <v>386</v>
      </c>
      <c r="B8" s="11" t="s">
        <v>387</v>
      </c>
      <c r="C8" s="11" t="s">
        <v>388</v>
      </c>
      <c r="D8" s="11" t="s">
        <v>389</v>
      </c>
      <c r="E8" s="11" t="s">
        <v>390</v>
      </c>
      <c r="F8" s="11" t="s">
        <v>391</v>
      </c>
    </row>
    <row r="9" spans="1:6" ht="45" customHeight="1" x14ac:dyDescent="0.25">
      <c r="A9" s="11" t="s">
        <v>392</v>
      </c>
      <c r="B9" s="11" t="s">
        <v>393</v>
      </c>
      <c r="C9" s="11" t="s">
        <v>394</v>
      </c>
      <c r="D9" s="11" t="s">
        <v>395</v>
      </c>
      <c r="E9" s="11" t="s">
        <v>396</v>
      </c>
      <c r="F9" s="11" t="s">
        <v>397</v>
      </c>
    </row>
    <row r="10" spans="1:6" ht="45" customHeight="1" x14ac:dyDescent="0.25">
      <c r="A10" s="11" t="s">
        <v>398</v>
      </c>
      <c r="B10" s="11" t="s">
        <v>399</v>
      </c>
      <c r="C10" s="11" t="s">
        <v>400</v>
      </c>
      <c r="D10" s="11" t="s">
        <v>401</v>
      </c>
      <c r="E10" s="11" t="s">
        <v>402</v>
      </c>
      <c r="F10" s="11" t="s">
        <v>403</v>
      </c>
    </row>
    <row r="11" spans="1:6" ht="45" customHeight="1" x14ac:dyDescent="0.25">
      <c r="A11" s="11" t="s">
        <v>404</v>
      </c>
      <c r="B11" s="11" t="s">
        <v>405</v>
      </c>
      <c r="C11" s="11" t="s">
        <v>406</v>
      </c>
      <c r="D11" s="11" t="s">
        <v>407</v>
      </c>
      <c r="E11" s="11" t="s">
        <v>408</v>
      </c>
      <c r="F11" s="11" t="s">
        <v>409</v>
      </c>
    </row>
  </sheetData>
  <mergeCells count="3">
    <mergeCell ref="A1:F1"/>
    <mergeCell ref="A2:F2"/>
    <mergeCell ref="A4:F4"/>
  </mergeCells>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17"/>
  <sheetViews>
    <sheetView showGridLines="0" workbookViewId="0">
      <pane ySplit="5" topLeftCell="A6" activePane="bottomLeft" state="frozen"/>
      <selection pane="bottomLeft" sqref="A1:T1"/>
    </sheetView>
  </sheetViews>
  <sheetFormatPr defaultRowHeight="15" x14ac:dyDescent="0.25"/>
  <cols>
    <col min="1" max="1" width="36.140625" customWidth="1"/>
    <col min="2" max="2" width="15.28515625" customWidth="1"/>
    <col min="3" max="3" width="16.140625" customWidth="1"/>
    <col min="4" max="4" width="18.140625" customWidth="1"/>
    <col min="5" max="5" width="16.140625" customWidth="1"/>
    <col min="6" max="6" width="17.140625" customWidth="1"/>
    <col min="7" max="7" width="14.28515625" customWidth="1"/>
    <col min="8" max="8" width="17.140625" customWidth="1"/>
    <col min="9" max="9" width="16.140625" customWidth="1"/>
    <col min="10" max="10" width="19" customWidth="1"/>
    <col min="11" max="11" width="17.140625" customWidth="1"/>
    <col min="12" max="12" width="19" customWidth="1"/>
    <col min="13" max="13" width="18.140625" customWidth="1"/>
    <col min="14" max="14" width="17.140625" customWidth="1"/>
    <col min="15" max="15" width="18.140625" customWidth="1"/>
    <col min="16" max="16" width="16.140625" customWidth="1"/>
    <col min="17" max="17" width="18.140625" customWidth="1"/>
    <col min="18" max="18" width="19" customWidth="1"/>
    <col min="19" max="19" width="35.28515625" customWidth="1"/>
    <col min="20" max="20" width="36.140625" customWidth="1"/>
  </cols>
  <sheetData>
    <row r="1" spans="1:20" ht="30" customHeight="1" x14ac:dyDescent="0.25">
      <c r="A1" s="1" t="s">
        <v>675</v>
      </c>
      <c r="B1" s="1"/>
      <c r="C1" s="1"/>
      <c r="D1" s="1"/>
      <c r="E1" s="1"/>
      <c r="F1" s="1"/>
      <c r="G1" s="1"/>
      <c r="H1" s="1"/>
      <c r="I1" s="1"/>
      <c r="J1" s="1"/>
      <c r="K1" s="1"/>
      <c r="L1" s="1"/>
      <c r="M1" s="1"/>
      <c r="N1" s="1"/>
      <c r="O1" s="1"/>
      <c r="P1" s="1"/>
      <c r="Q1" s="1"/>
      <c r="R1" s="1"/>
      <c r="S1" s="1"/>
      <c r="T1" s="1"/>
    </row>
    <row r="2" spans="1:20" ht="30" customHeight="1" x14ac:dyDescent="0.25">
      <c r="A2" s="25" t="s">
        <v>697</v>
      </c>
      <c r="B2" s="25"/>
      <c r="C2" s="25"/>
      <c r="D2" s="25"/>
      <c r="E2" s="25"/>
      <c r="F2" s="25"/>
      <c r="G2" s="25"/>
      <c r="H2" s="25"/>
      <c r="I2" s="25"/>
      <c r="J2" s="25"/>
      <c r="K2" s="25"/>
      <c r="L2" s="25"/>
      <c r="M2" s="25"/>
      <c r="N2" s="25"/>
      <c r="O2" s="25"/>
      <c r="P2" s="25"/>
      <c r="Q2" s="25"/>
      <c r="R2" s="25"/>
      <c r="S2" s="25"/>
      <c r="T2" s="25"/>
    </row>
    <row r="3" spans="1:20" ht="9" customHeight="1" x14ac:dyDescent="0.25">
      <c r="A3" s="21"/>
      <c r="B3" s="21"/>
      <c r="C3" s="21"/>
      <c r="D3" s="21"/>
      <c r="E3" s="21"/>
      <c r="F3" s="21"/>
      <c r="G3" s="21"/>
      <c r="H3" s="21"/>
      <c r="I3" s="21"/>
      <c r="J3" s="21"/>
      <c r="K3" s="21"/>
      <c r="L3" s="21"/>
      <c r="M3" s="21"/>
      <c r="N3" s="21"/>
      <c r="O3" s="21"/>
      <c r="P3" s="21"/>
      <c r="Q3" s="21"/>
      <c r="R3" s="21"/>
      <c r="S3" s="21"/>
      <c r="T3" s="21"/>
    </row>
    <row r="4" spans="1:20" ht="21.95" customHeight="1" x14ac:dyDescent="0.25">
      <c r="A4" s="2" t="s">
        <v>698</v>
      </c>
      <c r="B4" s="2"/>
      <c r="C4" s="2"/>
      <c r="D4" s="2"/>
      <c r="E4" s="2"/>
      <c r="F4" s="2"/>
      <c r="G4" s="2"/>
      <c r="H4" s="2"/>
      <c r="I4" s="2"/>
      <c r="J4" s="2"/>
      <c r="K4" s="2"/>
      <c r="L4" s="2"/>
      <c r="M4" s="2"/>
      <c r="N4" s="2"/>
      <c r="O4" s="2"/>
      <c r="P4" s="2"/>
      <c r="Q4" s="2"/>
      <c r="R4" s="2"/>
      <c r="S4" s="2"/>
      <c r="T4" s="2"/>
    </row>
    <row r="5" spans="1:20" ht="30" customHeight="1" x14ac:dyDescent="0.25">
      <c r="A5" s="13" t="s">
        <v>410</v>
      </c>
      <c r="B5" s="13" t="s">
        <v>411</v>
      </c>
      <c r="C5" s="13" t="s">
        <v>412</v>
      </c>
      <c r="D5" s="13" t="s">
        <v>413</v>
      </c>
      <c r="E5" s="13" t="s">
        <v>414</v>
      </c>
      <c r="F5" s="13" t="s">
        <v>415</v>
      </c>
      <c r="G5" s="13" t="s">
        <v>416</v>
      </c>
      <c r="H5" s="13" t="s">
        <v>417</v>
      </c>
      <c r="I5" s="13" t="s">
        <v>418</v>
      </c>
      <c r="J5" s="13" t="s">
        <v>419</v>
      </c>
      <c r="K5" s="13" t="s">
        <v>420</v>
      </c>
      <c r="L5" s="13" t="s">
        <v>421</v>
      </c>
      <c r="M5" s="13" t="s">
        <v>222</v>
      </c>
      <c r="N5" s="13" t="s">
        <v>422</v>
      </c>
      <c r="O5" s="13" t="s">
        <v>423</v>
      </c>
      <c r="P5" s="13" t="s">
        <v>424</v>
      </c>
      <c r="Q5" s="13" t="s">
        <v>425</v>
      </c>
      <c r="R5" s="13" t="s">
        <v>426</v>
      </c>
      <c r="S5" s="13" t="s">
        <v>427</v>
      </c>
      <c r="T5" s="13" t="s">
        <v>10</v>
      </c>
    </row>
    <row r="6" spans="1:20" ht="45" customHeight="1" x14ac:dyDescent="0.25">
      <c r="A6" s="11" t="s">
        <v>428</v>
      </c>
      <c r="B6" s="23">
        <f t="shared" ref="B6:B17" si="0">AVERAGE(C6:R6)</f>
        <v>4.5</v>
      </c>
      <c r="C6" s="22">
        <v>4</v>
      </c>
      <c r="D6" s="22">
        <v>5</v>
      </c>
      <c r="E6" s="22">
        <v>5</v>
      </c>
      <c r="F6" s="22">
        <v>5</v>
      </c>
      <c r="G6" s="22">
        <v>5</v>
      </c>
      <c r="H6" s="22">
        <v>5</v>
      </c>
      <c r="I6" s="22">
        <v>5</v>
      </c>
      <c r="J6" s="22">
        <v>4</v>
      </c>
      <c r="K6" s="22">
        <v>4</v>
      </c>
      <c r="L6" s="22">
        <v>5</v>
      </c>
      <c r="M6" s="22">
        <v>5</v>
      </c>
      <c r="N6" s="22">
        <v>4</v>
      </c>
      <c r="O6" s="22">
        <v>5</v>
      </c>
      <c r="P6" s="22">
        <v>3</v>
      </c>
      <c r="Q6" s="22">
        <v>3</v>
      </c>
      <c r="R6" s="22">
        <v>5</v>
      </c>
      <c r="S6" s="11" t="s">
        <v>429</v>
      </c>
      <c r="T6" s="20" t="s">
        <v>20</v>
      </c>
    </row>
    <row r="7" spans="1:20" ht="45" customHeight="1" x14ac:dyDescent="0.25">
      <c r="A7" s="11" t="s">
        <v>430</v>
      </c>
      <c r="B7" s="23">
        <f t="shared" si="0"/>
        <v>3.5</v>
      </c>
      <c r="C7" s="22">
        <v>5</v>
      </c>
      <c r="D7" s="22">
        <v>2</v>
      </c>
      <c r="E7" s="22">
        <v>3</v>
      </c>
      <c r="F7" s="22">
        <v>3</v>
      </c>
      <c r="G7" s="22">
        <v>4</v>
      </c>
      <c r="H7" s="22">
        <v>4</v>
      </c>
      <c r="I7" s="22">
        <v>3</v>
      </c>
      <c r="J7" s="22">
        <v>4</v>
      </c>
      <c r="K7" s="22">
        <v>4</v>
      </c>
      <c r="L7" s="22">
        <v>2</v>
      </c>
      <c r="M7" s="22">
        <v>3</v>
      </c>
      <c r="N7" s="22">
        <v>5</v>
      </c>
      <c r="O7" s="22">
        <v>3</v>
      </c>
      <c r="P7" s="22">
        <v>4</v>
      </c>
      <c r="Q7" s="22">
        <v>5</v>
      </c>
      <c r="R7" s="22">
        <v>2</v>
      </c>
      <c r="S7" s="11" t="s">
        <v>431</v>
      </c>
      <c r="T7" s="20" t="s">
        <v>432</v>
      </c>
    </row>
    <row r="8" spans="1:20" ht="45" customHeight="1" x14ac:dyDescent="0.25">
      <c r="A8" s="11" t="s">
        <v>433</v>
      </c>
      <c r="B8" s="23">
        <f t="shared" si="0"/>
        <v>3.25</v>
      </c>
      <c r="C8" s="22">
        <v>5</v>
      </c>
      <c r="D8" s="22">
        <v>2</v>
      </c>
      <c r="E8" s="22">
        <v>3</v>
      </c>
      <c r="F8" s="22">
        <v>3</v>
      </c>
      <c r="G8" s="22">
        <v>3</v>
      </c>
      <c r="H8" s="22">
        <v>3</v>
      </c>
      <c r="I8" s="22">
        <v>2</v>
      </c>
      <c r="J8" s="22">
        <v>4</v>
      </c>
      <c r="K8" s="22">
        <v>4</v>
      </c>
      <c r="L8" s="22">
        <v>2</v>
      </c>
      <c r="M8" s="22">
        <v>3</v>
      </c>
      <c r="N8" s="22">
        <v>5</v>
      </c>
      <c r="O8" s="22">
        <v>3</v>
      </c>
      <c r="P8" s="22">
        <v>3</v>
      </c>
      <c r="Q8" s="22">
        <v>5</v>
      </c>
      <c r="R8" s="22">
        <v>2</v>
      </c>
      <c r="S8" s="11" t="s">
        <v>434</v>
      </c>
      <c r="T8" s="20" t="s">
        <v>435</v>
      </c>
    </row>
    <row r="9" spans="1:20" ht="45" customHeight="1" x14ac:dyDescent="0.25">
      <c r="A9" s="11" t="s">
        <v>436</v>
      </c>
      <c r="B9" s="23">
        <f t="shared" si="0"/>
        <v>4.0625</v>
      </c>
      <c r="C9" s="22">
        <v>5</v>
      </c>
      <c r="D9" s="22">
        <v>3</v>
      </c>
      <c r="E9" s="22">
        <v>4</v>
      </c>
      <c r="F9" s="22">
        <v>4</v>
      </c>
      <c r="G9" s="22">
        <v>4</v>
      </c>
      <c r="H9" s="22">
        <v>4</v>
      </c>
      <c r="I9" s="22">
        <v>4</v>
      </c>
      <c r="J9" s="22">
        <v>5</v>
      </c>
      <c r="K9" s="22">
        <v>4</v>
      </c>
      <c r="L9" s="22">
        <v>3</v>
      </c>
      <c r="M9" s="22">
        <v>4</v>
      </c>
      <c r="N9" s="22">
        <v>4</v>
      </c>
      <c r="O9" s="22">
        <v>4</v>
      </c>
      <c r="P9" s="22">
        <v>5</v>
      </c>
      <c r="Q9" s="22">
        <v>5</v>
      </c>
      <c r="R9" s="22">
        <v>3</v>
      </c>
      <c r="S9" s="11" t="s">
        <v>437</v>
      </c>
      <c r="T9" s="20" t="s">
        <v>438</v>
      </c>
    </row>
    <row r="10" spans="1:20" ht="45" customHeight="1" x14ac:dyDescent="0.25">
      <c r="A10" s="11" t="s">
        <v>439</v>
      </c>
      <c r="B10" s="23">
        <f t="shared" si="0"/>
        <v>4.375</v>
      </c>
      <c r="C10" s="22">
        <v>5</v>
      </c>
      <c r="D10" s="22">
        <v>3</v>
      </c>
      <c r="E10" s="22">
        <v>4</v>
      </c>
      <c r="F10" s="22">
        <v>5</v>
      </c>
      <c r="G10" s="22">
        <v>4</v>
      </c>
      <c r="H10" s="22">
        <v>5</v>
      </c>
      <c r="I10" s="22">
        <v>5</v>
      </c>
      <c r="J10" s="22">
        <v>5</v>
      </c>
      <c r="K10" s="22">
        <v>5</v>
      </c>
      <c r="L10" s="22">
        <v>3</v>
      </c>
      <c r="M10" s="22">
        <v>4</v>
      </c>
      <c r="N10" s="22">
        <v>4</v>
      </c>
      <c r="O10" s="22">
        <v>5</v>
      </c>
      <c r="P10" s="22">
        <v>5</v>
      </c>
      <c r="Q10" s="22">
        <v>5</v>
      </c>
      <c r="R10" s="22">
        <v>3</v>
      </c>
      <c r="S10" s="11" t="s">
        <v>440</v>
      </c>
      <c r="T10" s="20" t="s">
        <v>441</v>
      </c>
    </row>
    <row r="11" spans="1:20" ht="45" customHeight="1" x14ac:dyDescent="0.25">
      <c r="A11" s="11" t="s">
        <v>442</v>
      </c>
      <c r="B11" s="23">
        <f t="shared" si="0"/>
        <v>4.375</v>
      </c>
      <c r="C11" s="22">
        <v>5</v>
      </c>
      <c r="D11" s="22">
        <v>4</v>
      </c>
      <c r="E11" s="22">
        <v>5</v>
      </c>
      <c r="F11" s="22">
        <v>4</v>
      </c>
      <c r="G11" s="22">
        <v>5</v>
      </c>
      <c r="H11" s="22">
        <v>5</v>
      </c>
      <c r="I11" s="22">
        <v>4</v>
      </c>
      <c r="J11" s="22">
        <v>5</v>
      </c>
      <c r="K11" s="22">
        <v>5</v>
      </c>
      <c r="L11" s="22">
        <v>3</v>
      </c>
      <c r="M11" s="22">
        <v>4</v>
      </c>
      <c r="N11" s="22">
        <v>4</v>
      </c>
      <c r="O11" s="22">
        <v>5</v>
      </c>
      <c r="P11" s="22">
        <v>5</v>
      </c>
      <c r="Q11" s="22">
        <v>4</v>
      </c>
      <c r="R11" s="22">
        <v>3</v>
      </c>
      <c r="S11" s="11" t="s">
        <v>443</v>
      </c>
      <c r="T11" s="20" t="s">
        <v>444</v>
      </c>
    </row>
    <row r="12" spans="1:20" ht="45" customHeight="1" x14ac:dyDescent="0.25">
      <c r="A12" s="11" t="s">
        <v>445</v>
      </c>
      <c r="B12" s="23">
        <f t="shared" si="0"/>
        <v>4.25</v>
      </c>
      <c r="C12" s="22">
        <v>3</v>
      </c>
      <c r="D12" s="22">
        <v>5</v>
      </c>
      <c r="E12" s="22">
        <v>5</v>
      </c>
      <c r="F12" s="22">
        <v>5</v>
      </c>
      <c r="G12" s="22">
        <v>5</v>
      </c>
      <c r="H12" s="22">
        <v>5</v>
      </c>
      <c r="I12" s="22">
        <v>4</v>
      </c>
      <c r="J12" s="22">
        <v>3</v>
      </c>
      <c r="K12" s="22">
        <v>3</v>
      </c>
      <c r="L12" s="22">
        <v>5</v>
      </c>
      <c r="M12" s="22">
        <v>5</v>
      </c>
      <c r="N12" s="22">
        <v>5</v>
      </c>
      <c r="O12" s="22">
        <v>4</v>
      </c>
      <c r="P12" s="22">
        <v>4</v>
      </c>
      <c r="Q12" s="22">
        <v>4</v>
      </c>
      <c r="R12" s="22">
        <v>3</v>
      </c>
      <c r="S12" s="11" t="s">
        <v>446</v>
      </c>
      <c r="T12" s="20" t="s">
        <v>447</v>
      </c>
    </row>
    <row r="13" spans="1:20" ht="45" customHeight="1" x14ac:dyDescent="0.25">
      <c r="A13" s="11" t="s">
        <v>448</v>
      </c>
      <c r="B13" s="23">
        <f t="shared" si="0"/>
        <v>3.375</v>
      </c>
      <c r="C13" s="22">
        <v>3</v>
      </c>
      <c r="D13" s="22">
        <v>5</v>
      </c>
      <c r="E13" s="22">
        <v>3</v>
      </c>
      <c r="F13" s="22">
        <v>4</v>
      </c>
      <c r="G13" s="22">
        <v>3</v>
      </c>
      <c r="H13" s="22">
        <v>3</v>
      </c>
      <c r="I13" s="22">
        <v>3</v>
      </c>
      <c r="J13" s="22">
        <v>5</v>
      </c>
      <c r="K13" s="22">
        <v>2</v>
      </c>
      <c r="L13" s="22">
        <v>3</v>
      </c>
      <c r="M13" s="22">
        <v>3</v>
      </c>
      <c r="N13" s="22">
        <v>5</v>
      </c>
      <c r="O13" s="22">
        <v>2</v>
      </c>
      <c r="P13" s="22">
        <v>4</v>
      </c>
      <c r="Q13" s="22">
        <v>3</v>
      </c>
      <c r="R13" s="22">
        <v>3</v>
      </c>
      <c r="S13" s="11" t="s">
        <v>449</v>
      </c>
      <c r="T13" s="20" t="s">
        <v>450</v>
      </c>
    </row>
    <row r="14" spans="1:20" ht="45" customHeight="1" x14ac:dyDescent="0.25">
      <c r="A14" s="11" t="s">
        <v>451</v>
      </c>
      <c r="B14" s="23">
        <f t="shared" si="0"/>
        <v>2.6875</v>
      </c>
      <c r="C14" s="22">
        <v>3</v>
      </c>
      <c r="D14" s="22">
        <v>5</v>
      </c>
      <c r="E14" s="22">
        <v>2</v>
      </c>
      <c r="F14" s="22">
        <v>3</v>
      </c>
      <c r="G14" s="22">
        <v>2</v>
      </c>
      <c r="H14" s="22">
        <v>2</v>
      </c>
      <c r="I14" s="22">
        <v>1</v>
      </c>
      <c r="J14" s="22">
        <v>2</v>
      </c>
      <c r="K14" s="22">
        <v>1</v>
      </c>
      <c r="L14" s="22">
        <v>5</v>
      </c>
      <c r="M14" s="22">
        <v>5</v>
      </c>
      <c r="N14" s="22">
        <v>3</v>
      </c>
      <c r="O14" s="22">
        <v>1</v>
      </c>
      <c r="P14" s="22">
        <v>2</v>
      </c>
      <c r="Q14" s="22">
        <v>2</v>
      </c>
      <c r="R14" s="22">
        <v>4</v>
      </c>
      <c r="S14" s="11" t="s">
        <v>452</v>
      </c>
      <c r="T14" s="20" t="s">
        <v>453</v>
      </c>
    </row>
    <row r="15" spans="1:20" ht="45" customHeight="1" x14ac:dyDescent="0.25">
      <c r="A15" s="11" t="s">
        <v>454</v>
      </c>
      <c r="B15" s="23">
        <f t="shared" si="0"/>
        <v>3.25</v>
      </c>
      <c r="C15" s="22">
        <v>1</v>
      </c>
      <c r="D15" s="22">
        <v>2</v>
      </c>
      <c r="E15" s="22">
        <v>2</v>
      </c>
      <c r="F15" s="22">
        <v>5</v>
      </c>
      <c r="G15" s="22">
        <v>1</v>
      </c>
      <c r="H15" s="22">
        <v>3</v>
      </c>
      <c r="I15" s="22">
        <v>3</v>
      </c>
      <c r="J15" s="22">
        <v>5</v>
      </c>
      <c r="K15" s="22">
        <v>3</v>
      </c>
      <c r="L15" s="22">
        <v>4</v>
      </c>
      <c r="M15" s="22">
        <v>4</v>
      </c>
      <c r="N15" s="22">
        <v>3</v>
      </c>
      <c r="O15" s="22">
        <v>4</v>
      </c>
      <c r="P15" s="22">
        <v>5</v>
      </c>
      <c r="Q15" s="22">
        <v>5</v>
      </c>
      <c r="R15" s="22">
        <v>2</v>
      </c>
      <c r="S15" s="11" t="s">
        <v>455</v>
      </c>
      <c r="T15" s="20" t="s">
        <v>61</v>
      </c>
    </row>
    <row r="16" spans="1:20" ht="45" customHeight="1" x14ac:dyDescent="0.25">
      <c r="A16" s="11" t="s">
        <v>456</v>
      </c>
      <c r="B16" s="23">
        <f t="shared" si="0"/>
        <v>2.75</v>
      </c>
      <c r="C16" s="22">
        <v>2</v>
      </c>
      <c r="D16" s="22">
        <v>4</v>
      </c>
      <c r="E16" s="22">
        <v>1</v>
      </c>
      <c r="F16" s="22">
        <v>1</v>
      </c>
      <c r="G16" s="22">
        <v>5</v>
      </c>
      <c r="H16" s="22">
        <v>5</v>
      </c>
      <c r="I16" s="22">
        <v>2</v>
      </c>
      <c r="J16" s="22">
        <v>2</v>
      </c>
      <c r="K16" s="22">
        <v>2</v>
      </c>
      <c r="L16" s="22">
        <v>3</v>
      </c>
      <c r="M16" s="22">
        <v>3</v>
      </c>
      <c r="N16" s="22">
        <v>4</v>
      </c>
      <c r="O16" s="22">
        <v>2</v>
      </c>
      <c r="P16" s="22">
        <v>3</v>
      </c>
      <c r="Q16" s="22">
        <v>3</v>
      </c>
      <c r="R16" s="22">
        <v>2</v>
      </c>
      <c r="S16" s="11" t="s">
        <v>457</v>
      </c>
      <c r="T16" s="20" t="s">
        <v>447</v>
      </c>
    </row>
    <row r="17" spans="1:20" ht="45" customHeight="1" x14ac:dyDescent="0.25">
      <c r="A17" s="11" t="s">
        <v>458</v>
      </c>
      <c r="B17" s="23">
        <f t="shared" si="0"/>
        <v>3.4375</v>
      </c>
      <c r="C17" s="22">
        <v>3</v>
      </c>
      <c r="D17" s="22">
        <v>4</v>
      </c>
      <c r="E17" s="22">
        <v>3</v>
      </c>
      <c r="F17" s="22">
        <v>4</v>
      </c>
      <c r="G17" s="22">
        <v>3</v>
      </c>
      <c r="H17" s="22">
        <v>3</v>
      </c>
      <c r="I17" s="22">
        <v>3</v>
      </c>
      <c r="J17" s="22">
        <v>4</v>
      </c>
      <c r="K17" s="22">
        <v>4</v>
      </c>
      <c r="L17" s="22">
        <v>5</v>
      </c>
      <c r="M17" s="22">
        <v>5</v>
      </c>
      <c r="N17" s="22">
        <v>2</v>
      </c>
      <c r="O17" s="22">
        <v>4</v>
      </c>
      <c r="P17" s="22">
        <v>2</v>
      </c>
      <c r="Q17" s="22">
        <v>2</v>
      </c>
      <c r="R17" s="22">
        <v>4</v>
      </c>
      <c r="S17" s="11" t="s">
        <v>459</v>
      </c>
      <c r="T17" s="20" t="s">
        <v>61</v>
      </c>
    </row>
  </sheetData>
  <mergeCells count="3">
    <mergeCell ref="A1:T1"/>
    <mergeCell ref="A2:T2"/>
    <mergeCell ref="A4:T4"/>
  </mergeCells>
  <conditionalFormatting sqref="B6:B17">
    <cfRule type="colorScale" priority="1">
      <colorScale>
        <cfvo type="min"/>
        <cfvo type="num" val="3"/>
        <cfvo type="max"/>
        <color rgb="FFFEE2E2"/>
        <color rgb="FFFEF3C7"/>
        <color rgb="FFDCFCE7"/>
      </colorScale>
    </cfRule>
  </conditionalFormatting>
  <pageMargins left="0.75" right="0.75" top="1" bottom="1" header="0.5" footer="0.5"/>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6"/>
  <sheetViews>
    <sheetView showGridLines="0" workbookViewId="0">
      <pane ySplit="5" topLeftCell="A6" activePane="bottomLeft" state="frozen"/>
      <selection pane="bottomLeft" sqref="A1:E1"/>
    </sheetView>
  </sheetViews>
  <sheetFormatPr defaultRowHeight="15" x14ac:dyDescent="0.25"/>
  <cols>
    <col min="1" max="1" width="36.140625" customWidth="1"/>
    <col min="2" max="2" width="38.140625" customWidth="1"/>
    <col min="3" max="3" width="43.85546875" customWidth="1"/>
    <col min="4" max="4" width="40" customWidth="1"/>
    <col min="5" max="5" width="35.28515625" customWidth="1"/>
  </cols>
  <sheetData>
    <row r="1" spans="1:5" ht="30" customHeight="1" x14ac:dyDescent="0.25">
      <c r="A1" s="24" t="s">
        <v>677</v>
      </c>
      <c r="B1" s="24"/>
      <c r="C1" s="24"/>
      <c r="D1" s="24"/>
      <c r="E1" s="24"/>
    </row>
    <row r="2" spans="1:5" ht="30" customHeight="1" x14ac:dyDescent="0.25">
      <c r="A2" s="25" t="s">
        <v>699</v>
      </c>
      <c r="B2" s="25"/>
      <c r="C2" s="25"/>
      <c r="D2" s="25"/>
      <c r="E2" s="25"/>
    </row>
    <row r="3" spans="1:5" ht="9" customHeight="1" x14ac:dyDescent="0.25">
      <c r="A3" s="7"/>
      <c r="B3" s="7"/>
      <c r="C3" s="7"/>
      <c r="D3" s="7"/>
      <c r="E3" s="7"/>
    </row>
    <row r="4" spans="1:5" ht="21.95" customHeight="1" x14ac:dyDescent="0.25">
      <c r="A4" s="26" t="s">
        <v>700</v>
      </c>
      <c r="B4" s="26"/>
      <c r="C4" s="26"/>
      <c r="D4" s="26"/>
      <c r="E4" s="26"/>
    </row>
    <row r="5" spans="1:5" ht="30" customHeight="1" x14ac:dyDescent="0.25">
      <c r="A5" s="12" t="s">
        <v>410</v>
      </c>
      <c r="B5" s="12" t="s">
        <v>460</v>
      </c>
      <c r="C5" s="12" t="s">
        <v>461</v>
      </c>
      <c r="D5" s="12" t="s">
        <v>462</v>
      </c>
      <c r="E5" s="12" t="s">
        <v>10</v>
      </c>
    </row>
    <row r="6" spans="1:5" ht="45" customHeight="1" x14ac:dyDescent="0.25">
      <c r="A6" s="11" t="s">
        <v>430</v>
      </c>
      <c r="B6" s="11" t="s">
        <v>463</v>
      </c>
      <c r="C6" s="11" t="s">
        <v>464</v>
      </c>
      <c r="D6" s="11" t="s">
        <v>465</v>
      </c>
      <c r="E6" s="20" t="s">
        <v>432</v>
      </c>
    </row>
    <row r="7" spans="1:5" ht="45" customHeight="1" x14ac:dyDescent="0.25">
      <c r="A7" s="11" t="s">
        <v>433</v>
      </c>
      <c r="B7" s="11" t="s">
        <v>463</v>
      </c>
      <c r="C7" s="11" t="s">
        <v>466</v>
      </c>
      <c r="D7" s="11" t="s">
        <v>465</v>
      </c>
      <c r="E7" s="20" t="s">
        <v>435</v>
      </c>
    </row>
    <row r="8" spans="1:5" ht="45" customHeight="1" x14ac:dyDescent="0.25">
      <c r="A8" s="11" t="s">
        <v>436</v>
      </c>
      <c r="B8" s="11" t="s">
        <v>467</v>
      </c>
      <c r="C8" s="11" t="s">
        <v>464</v>
      </c>
      <c r="D8" s="11" t="s">
        <v>465</v>
      </c>
      <c r="E8" s="20" t="s">
        <v>438</v>
      </c>
    </row>
    <row r="9" spans="1:5" ht="45" customHeight="1" x14ac:dyDescent="0.25">
      <c r="A9" s="11" t="s">
        <v>439</v>
      </c>
      <c r="B9" s="11" t="s">
        <v>468</v>
      </c>
      <c r="C9" s="11" t="s">
        <v>464</v>
      </c>
      <c r="D9" s="11" t="s">
        <v>465</v>
      </c>
      <c r="E9" s="20" t="s">
        <v>441</v>
      </c>
    </row>
    <row r="10" spans="1:5" ht="45" customHeight="1" x14ac:dyDescent="0.25">
      <c r="A10" s="11" t="s">
        <v>442</v>
      </c>
      <c r="B10" s="11" t="s">
        <v>469</v>
      </c>
      <c r="C10" s="11" t="s">
        <v>470</v>
      </c>
      <c r="D10" s="11" t="s">
        <v>465</v>
      </c>
      <c r="E10" s="20" t="s">
        <v>444</v>
      </c>
    </row>
    <row r="11" spans="1:5" ht="45" customHeight="1" x14ac:dyDescent="0.25">
      <c r="A11" s="11" t="s">
        <v>445</v>
      </c>
      <c r="B11" s="11" t="s">
        <v>471</v>
      </c>
      <c r="C11" s="11" t="s">
        <v>472</v>
      </c>
      <c r="D11" s="11" t="s">
        <v>465</v>
      </c>
      <c r="E11" s="20" t="s">
        <v>447</v>
      </c>
    </row>
    <row r="12" spans="1:5" ht="45" customHeight="1" x14ac:dyDescent="0.25">
      <c r="A12" s="11" t="s">
        <v>448</v>
      </c>
      <c r="B12" s="11" t="s">
        <v>473</v>
      </c>
      <c r="C12" s="11" t="s">
        <v>474</v>
      </c>
      <c r="D12" s="11" t="s">
        <v>465</v>
      </c>
      <c r="E12" s="20" t="s">
        <v>450</v>
      </c>
    </row>
    <row r="13" spans="1:5" ht="45" customHeight="1" x14ac:dyDescent="0.25">
      <c r="A13" s="11" t="s">
        <v>451</v>
      </c>
      <c r="B13" s="11" t="s">
        <v>475</v>
      </c>
      <c r="C13" s="11" t="s">
        <v>476</v>
      </c>
      <c r="D13" s="11" t="s">
        <v>465</v>
      </c>
      <c r="E13" s="20" t="s">
        <v>453</v>
      </c>
    </row>
    <row r="14" spans="1:5" ht="45" customHeight="1" x14ac:dyDescent="0.25">
      <c r="A14" s="11" t="s">
        <v>454</v>
      </c>
      <c r="B14" s="11" t="s">
        <v>477</v>
      </c>
      <c r="C14" s="11" t="s">
        <v>478</v>
      </c>
      <c r="D14" s="11" t="s">
        <v>465</v>
      </c>
      <c r="E14" s="20" t="s">
        <v>61</v>
      </c>
    </row>
    <row r="15" spans="1:5" ht="45" customHeight="1" x14ac:dyDescent="0.25">
      <c r="A15" s="11" t="s">
        <v>456</v>
      </c>
      <c r="B15" s="11" t="s">
        <v>479</v>
      </c>
      <c r="C15" s="11" t="s">
        <v>480</v>
      </c>
      <c r="D15" s="11" t="s">
        <v>465</v>
      </c>
      <c r="E15" s="20" t="s">
        <v>447</v>
      </c>
    </row>
    <row r="16" spans="1:5" ht="45" customHeight="1" x14ac:dyDescent="0.25">
      <c r="A16" s="11" t="s">
        <v>458</v>
      </c>
      <c r="B16" s="11" t="s">
        <v>481</v>
      </c>
      <c r="C16" s="11" t="s">
        <v>482</v>
      </c>
      <c r="D16" s="11" t="s">
        <v>465</v>
      </c>
      <c r="E16" s="20" t="s">
        <v>61</v>
      </c>
    </row>
  </sheetData>
  <mergeCells count="3">
    <mergeCell ref="A1:E1"/>
    <mergeCell ref="A2:E2"/>
    <mergeCell ref="A4:E4"/>
  </mergeCells>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5"/>
  <sheetViews>
    <sheetView showGridLines="0" workbookViewId="0">
      <pane ySplit="5" topLeftCell="A6" activePane="bottomLeft" state="frozen"/>
      <selection pane="bottomLeft" sqref="A1:G1"/>
    </sheetView>
  </sheetViews>
  <sheetFormatPr defaultRowHeight="15" x14ac:dyDescent="0.25"/>
  <cols>
    <col min="1" max="1" width="34.28515625" customWidth="1"/>
    <col min="2" max="2" width="27.5703125" customWidth="1"/>
    <col min="3" max="3" width="38.140625" customWidth="1"/>
    <col min="4" max="4" width="43.85546875" customWidth="1"/>
    <col min="5" max="5" width="33.28515625" customWidth="1"/>
    <col min="6" max="6" width="28.5703125" customWidth="1"/>
    <col min="7" max="7" width="27.5703125" customWidth="1"/>
  </cols>
  <sheetData>
    <row r="1" spans="1:7" ht="30" customHeight="1" x14ac:dyDescent="0.25">
      <c r="A1" s="24" t="s">
        <v>679</v>
      </c>
      <c r="B1" s="24"/>
      <c r="C1" s="24"/>
      <c r="D1" s="24"/>
      <c r="E1" s="24"/>
      <c r="F1" s="24"/>
      <c r="G1" s="24"/>
    </row>
    <row r="2" spans="1:7" ht="30" customHeight="1" x14ac:dyDescent="0.25">
      <c r="A2" s="25" t="s">
        <v>701</v>
      </c>
      <c r="B2" s="25"/>
      <c r="C2" s="25"/>
      <c r="D2" s="25"/>
      <c r="E2" s="25"/>
      <c r="F2" s="25"/>
      <c r="G2" s="25"/>
    </row>
    <row r="3" spans="1:7" ht="9" customHeight="1" x14ac:dyDescent="0.25">
      <c r="A3" s="7"/>
      <c r="B3" s="7"/>
      <c r="C3" s="7"/>
      <c r="D3" s="7"/>
      <c r="E3" s="7"/>
      <c r="F3" s="7"/>
      <c r="G3" s="7"/>
    </row>
    <row r="4" spans="1:7" ht="21.95" customHeight="1" x14ac:dyDescent="0.25">
      <c r="A4" s="26" t="s">
        <v>702</v>
      </c>
      <c r="B4" s="26"/>
      <c r="C4" s="26"/>
      <c r="D4" s="26"/>
      <c r="E4" s="26"/>
      <c r="F4" s="26"/>
      <c r="G4" s="26"/>
    </row>
    <row r="5" spans="1:7" ht="30" customHeight="1" x14ac:dyDescent="0.25">
      <c r="A5" s="12" t="s">
        <v>483</v>
      </c>
      <c r="B5" s="12" t="s">
        <v>484</v>
      </c>
      <c r="C5" s="12" t="s">
        <v>287</v>
      </c>
      <c r="D5" s="12" t="s">
        <v>485</v>
      </c>
      <c r="E5" s="12" t="s">
        <v>486</v>
      </c>
      <c r="F5" s="12" t="s">
        <v>487</v>
      </c>
      <c r="G5" s="12" t="s">
        <v>372</v>
      </c>
    </row>
    <row r="6" spans="1:7" ht="45" customHeight="1" x14ac:dyDescent="0.25">
      <c r="A6" s="11" t="s">
        <v>488</v>
      </c>
      <c r="B6" s="11" t="s">
        <v>489</v>
      </c>
      <c r="C6" s="11" t="s">
        <v>490</v>
      </c>
      <c r="D6" s="11" t="s">
        <v>491</v>
      </c>
      <c r="E6" s="11" t="s">
        <v>492</v>
      </c>
      <c r="F6" s="11" t="s">
        <v>493</v>
      </c>
      <c r="G6" s="11" t="s">
        <v>494</v>
      </c>
    </row>
    <row r="7" spans="1:7" ht="45" customHeight="1" x14ac:dyDescent="0.25">
      <c r="A7" s="11" t="s">
        <v>495</v>
      </c>
      <c r="B7" s="11" t="s">
        <v>496</v>
      </c>
      <c r="C7" s="11" t="s">
        <v>497</v>
      </c>
      <c r="D7" s="11" t="s">
        <v>498</v>
      </c>
      <c r="E7" s="11" t="s">
        <v>499</v>
      </c>
      <c r="F7" s="11" t="s">
        <v>500</v>
      </c>
      <c r="G7" s="11" t="s">
        <v>501</v>
      </c>
    </row>
    <row r="8" spans="1:7" ht="45" customHeight="1" x14ac:dyDescent="0.25">
      <c r="A8" s="11" t="s">
        <v>502</v>
      </c>
      <c r="B8" s="11" t="s">
        <v>503</v>
      </c>
      <c r="C8" s="11" t="s">
        <v>504</v>
      </c>
      <c r="D8" s="11" t="s">
        <v>505</v>
      </c>
      <c r="E8" s="11" t="s">
        <v>506</v>
      </c>
      <c r="F8" s="11" t="s">
        <v>507</v>
      </c>
      <c r="G8" s="11" t="s">
        <v>508</v>
      </c>
    </row>
    <row r="9" spans="1:7" ht="45" customHeight="1" x14ac:dyDescent="0.25">
      <c r="A9" s="11" t="s">
        <v>509</v>
      </c>
      <c r="B9" s="11" t="s">
        <v>510</v>
      </c>
      <c r="C9" s="11" t="s">
        <v>511</v>
      </c>
      <c r="D9" s="11" t="s">
        <v>512</v>
      </c>
      <c r="E9" s="11" t="s">
        <v>513</v>
      </c>
      <c r="F9" s="11" t="s">
        <v>514</v>
      </c>
      <c r="G9" s="11" t="s">
        <v>402</v>
      </c>
    </row>
    <row r="10" spans="1:7" ht="45" customHeight="1" x14ac:dyDescent="0.25">
      <c r="A10" s="11" t="s">
        <v>515</v>
      </c>
      <c r="B10" s="11" t="s">
        <v>516</v>
      </c>
      <c r="C10" s="11" t="s">
        <v>517</v>
      </c>
      <c r="D10" s="11" t="s">
        <v>518</v>
      </c>
      <c r="E10" s="11" t="s">
        <v>519</v>
      </c>
      <c r="F10" s="11" t="s">
        <v>520</v>
      </c>
      <c r="G10" s="11" t="s">
        <v>521</v>
      </c>
    </row>
    <row r="11" spans="1:7" ht="45" customHeight="1" x14ac:dyDescent="0.25">
      <c r="A11" s="11" t="s">
        <v>522</v>
      </c>
      <c r="B11" s="11" t="s">
        <v>523</v>
      </c>
      <c r="C11" s="11" t="s">
        <v>524</v>
      </c>
      <c r="D11" s="11" t="s">
        <v>525</v>
      </c>
      <c r="E11" s="11" t="s">
        <v>526</v>
      </c>
      <c r="F11" s="11" t="s">
        <v>527</v>
      </c>
      <c r="G11" s="11" t="s">
        <v>528</v>
      </c>
    </row>
    <row r="12" spans="1:7" ht="45" customHeight="1" x14ac:dyDescent="0.25">
      <c r="A12" s="11" t="s">
        <v>529</v>
      </c>
      <c r="B12" s="11" t="s">
        <v>530</v>
      </c>
      <c r="C12" s="11" t="s">
        <v>531</v>
      </c>
      <c r="D12" s="11" t="s">
        <v>532</v>
      </c>
      <c r="E12" s="11" t="s">
        <v>533</v>
      </c>
      <c r="F12" s="11" t="s">
        <v>534</v>
      </c>
      <c r="G12" s="11" t="s">
        <v>390</v>
      </c>
    </row>
    <row r="13" spans="1:7" ht="45" customHeight="1" x14ac:dyDescent="0.25">
      <c r="A13" s="11" t="s">
        <v>535</v>
      </c>
      <c r="B13" s="11" t="s">
        <v>536</v>
      </c>
      <c r="C13" s="11" t="s">
        <v>537</v>
      </c>
      <c r="D13" s="11" t="s">
        <v>538</v>
      </c>
      <c r="E13" s="11" t="s">
        <v>539</v>
      </c>
      <c r="F13" s="11" t="s">
        <v>540</v>
      </c>
      <c r="G13" s="11" t="s">
        <v>541</v>
      </c>
    </row>
    <row r="14" spans="1:7" ht="45" customHeight="1" x14ac:dyDescent="0.25">
      <c r="A14" s="11" t="s">
        <v>542</v>
      </c>
      <c r="B14" s="11" t="s">
        <v>543</v>
      </c>
      <c r="C14" s="11" t="s">
        <v>544</v>
      </c>
      <c r="D14" s="11" t="s">
        <v>545</v>
      </c>
      <c r="E14" s="11" t="s">
        <v>546</v>
      </c>
      <c r="F14" s="11" t="s">
        <v>547</v>
      </c>
      <c r="G14" s="11" t="s">
        <v>548</v>
      </c>
    </row>
    <row r="15" spans="1:7" ht="45" customHeight="1" x14ac:dyDescent="0.25">
      <c r="A15" s="11" t="s">
        <v>549</v>
      </c>
      <c r="B15" s="11" t="s">
        <v>550</v>
      </c>
      <c r="C15" s="11" t="s">
        <v>551</v>
      </c>
      <c r="D15" s="11" t="s">
        <v>552</v>
      </c>
      <c r="E15" s="11" t="s">
        <v>553</v>
      </c>
      <c r="F15" s="11" t="s">
        <v>554</v>
      </c>
      <c r="G15" s="11" t="s">
        <v>555</v>
      </c>
    </row>
  </sheetData>
  <mergeCells count="3">
    <mergeCell ref="A1:G1"/>
    <mergeCell ref="A2:G2"/>
    <mergeCell ref="A4:G4"/>
  </mergeCells>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23"/>
  <sheetViews>
    <sheetView showGridLines="0" workbookViewId="0">
      <pane ySplit="5" topLeftCell="A6" activePane="bottomLeft" state="frozen"/>
      <selection pane="bottomLeft" sqref="A1:F1"/>
    </sheetView>
  </sheetViews>
  <sheetFormatPr defaultRowHeight="15" x14ac:dyDescent="0.25"/>
  <cols>
    <col min="1" max="1" width="18.140625" customWidth="1"/>
    <col min="2" max="2" width="27.5703125" customWidth="1"/>
    <col min="3" max="3" width="41.85546875" customWidth="1"/>
    <col min="4" max="4" width="17.140625" customWidth="1"/>
    <col min="5" max="5" width="27.5703125" customWidth="1"/>
    <col min="6" max="6" width="36.140625" customWidth="1"/>
  </cols>
  <sheetData>
    <row r="1" spans="1:6" ht="30" customHeight="1" x14ac:dyDescent="0.25">
      <c r="A1" s="24" t="s">
        <v>681</v>
      </c>
      <c r="B1" s="24"/>
      <c r="C1" s="24"/>
      <c r="D1" s="24"/>
      <c r="E1" s="24"/>
      <c r="F1" s="24"/>
    </row>
    <row r="2" spans="1:6" ht="30" customHeight="1" x14ac:dyDescent="0.25">
      <c r="A2" s="25" t="s">
        <v>703</v>
      </c>
      <c r="B2" s="25"/>
      <c r="C2" s="25"/>
      <c r="D2" s="25"/>
      <c r="E2" s="25"/>
      <c r="F2" s="25"/>
    </row>
    <row r="3" spans="1:6" ht="9" customHeight="1" x14ac:dyDescent="0.25">
      <c r="A3" s="7"/>
      <c r="B3" s="7"/>
      <c r="C3" s="7"/>
      <c r="D3" s="7"/>
      <c r="E3" s="7"/>
      <c r="F3" s="7"/>
    </row>
    <row r="4" spans="1:6" ht="21.95" customHeight="1" x14ac:dyDescent="0.25">
      <c r="A4" s="26" t="s">
        <v>704</v>
      </c>
      <c r="B4" s="26"/>
      <c r="C4" s="26"/>
      <c r="D4" s="26"/>
      <c r="E4" s="26"/>
      <c r="F4" s="26"/>
    </row>
    <row r="5" spans="1:6" ht="30" customHeight="1" x14ac:dyDescent="0.25">
      <c r="A5" s="12" t="s">
        <v>556</v>
      </c>
      <c r="B5" s="12" t="s">
        <v>557</v>
      </c>
      <c r="C5" s="12" t="s">
        <v>558</v>
      </c>
      <c r="D5" s="12" t="s">
        <v>559</v>
      </c>
      <c r="E5" s="12" t="s">
        <v>560</v>
      </c>
      <c r="F5" s="12" t="s">
        <v>561</v>
      </c>
    </row>
    <row r="6" spans="1:6" ht="45" customHeight="1" x14ac:dyDescent="0.25">
      <c r="A6" s="11" t="s">
        <v>562</v>
      </c>
      <c r="B6" s="11" t="s">
        <v>563</v>
      </c>
      <c r="C6" s="11" t="s">
        <v>564</v>
      </c>
      <c r="D6" s="11" t="s">
        <v>565</v>
      </c>
      <c r="E6" s="11" t="s">
        <v>566</v>
      </c>
      <c r="F6" s="11" t="s">
        <v>567</v>
      </c>
    </row>
    <row r="7" spans="1:6" ht="45" customHeight="1" x14ac:dyDescent="0.25">
      <c r="A7" s="11" t="s">
        <v>562</v>
      </c>
      <c r="B7" s="11" t="s">
        <v>568</v>
      </c>
      <c r="C7" s="11" t="s">
        <v>569</v>
      </c>
      <c r="D7" s="11" t="s">
        <v>565</v>
      </c>
      <c r="E7" s="11" t="s">
        <v>570</v>
      </c>
      <c r="F7" s="11" t="s">
        <v>571</v>
      </c>
    </row>
    <row r="8" spans="1:6" ht="45" customHeight="1" x14ac:dyDescent="0.25">
      <c r="A8" s="11" t="s">
        <v>572</v>
      </c>
      <c r="B8" s="11" t="s">
        <v>573</v>
      </c>
      <c r="C8" s="11" t="s">
        <v>574</v>
      </c>
      <c r="D8" s="11" t="s">
        <v>575</v>
      </c>
      <c r="E8" s="11" t="s">
        <v>576</v>
      </c>
      <c r="F8" s="11" t="s">
        <v>577</v>
      </c>
    </row>
    <row r="9" spans="1:6" ht="45" customHeight="1" x14ac:dyDescent="0.25">
      <c r="A9" s="11" t="s">
        <v>572</v>
      </c>
      <c r="B9" s="11" t="s">
        <v>578</v>
      </c>
      <c r="C9" s="11" t="s">
        <v>579</v>
      </c>
      <c r="D9" s="11" t="s">
        <v>565</v>
      </c>
      <c r="E9" s="11" t="s">
        <v>580</v>
      </c>
      <c r="F9" s="11" t="s">
        <v>581</v>
      </c>
    </row>
    <row r="10" spans="1:6" ht="45" customHeight="1" x14ac:dyDescent="0.25">
      <c r="A10" s="11" t="s">
        <v>572</v>
      </c>
      <c r="B10" s="11" t="s">
        <v>582</v>
      </c>
      <c r="C10" s="11" t="s">
        <v>583</v>
      </c>
      <c r="D10" s="11" t="s">
        <v>565</v>
      </c>
      <c r="E10" s="11" t="s">
        <v>580</v>
      </c>
      <c r="F10" s="11" t="s">
        <v>584</v>
      </c>
    </row>
    <row r="11" spans="1:6" ht="45" customHeight="1" x14ac:dyDescent="0.25">
      <c r="A11" s="11" t="s">
        <v>585</v>
      </c>
      <c r="B11" s="11" t="s">
        <v>586</v>
      </c>
      <c r="C11" s="11" t="s">
        <v>587</v>
      </c>
      <c r="D11" s="11" t="s">
        <v>565</v>
      </c>
      <c r="E11" s="11" t="s">
        <v>580</v>
      </c>
      <c r="F11" s="11" t="s">
        <v>588</v>
      </c>
    </row>
    <row r="12" spans="1:6" ht="45" customHeight="1" x14ac:dyDescent="0.25">
      <c r="A12" s="11" t="s">
        <v>585</v>
      </c>
      <c r="B12" s="11" t="s">
        <v>589</v>
      </c>
      <c r="C12" s="11" t="s">
        <v>590</v>
      </c>
      <c r="D12" s="11" t="s">
        <v>565</v>
      </c>
      <c r="E12" s="11" t="s">
        <v>580</v>
      </c>
      <c r="F12" s="11" t="s">
        <v>591</v>
      </c>
    </row>
    <row r="13" spans="1:6" ht="45" customHeight="1" x14ac:dyDescent="0.25">
      <c r="A13" s="11" t="s">
        <v>585</v>
      </c>
      <c r="B13" s="11" t="s">
        <v>592</v>
      </c>
      <c r="C13" s="11" t="s">
        <v>593</v>
      </c>
      <c r="D13" s="11" t="s">
        <v>565</v>
      </c>
      <c r="E13" s="11" t="s">
        <v>580</v>
      </c>
      <c r="F13" s="11" t="s">
        <v>594</v>
      </c>
    </row>
    <row r="14" spans="1:6" ht="45" customHeight="1" x14ac:dyDescent="0.25">
      <c r="A14" s="11" t="s">
        <v>585</v>
      </c>
      <c r="B14" s="11" t="s">
        <v>595</v>
      </c>
      <c r="C14" s="11" t="s">
        <v>596</v>
      </c>
      <c r="D14" s="11" t="s">
        <v>565</v>
      </c>
      <c r="E14" s="11" t="s">
        <v>580</v>
      </c>
      <c r="F14" s="11" t="s">
        <v>597</v>
      </c>
    </row>
    <row r="15" spans="1:6" ht="45" customHeight="1" x14ac:dyDescent="0.25">
      <c r="A15" s="11" t="s">
        <v>598</v>
      </c>
      <c r="B15" s="11" t="s">
        <v>599</v>
      </c>
      <c r="C15" s="11" t="s">
        <v>600</v>
      </c>
      <c r="D15" s="11" t="s">
        <v>565</v>
      </c>
      <c r="E15" s="11" t="s">
        <v>601</v>
      </c>
      <c r="F15" s="11" t="s">
        <v>602</v>
      </c>
    </row>
    <row r="16" spans="1:6" ht="45" customHeight="1" x14ac:dyDescent="0.25">
      <c r="A16" s="11" t="s">
        <v>603</v>
      </c>
      <c r="B16" s="11" t="s">
        <v>604</v>
      </c>
      <c r="C16" s="11" t="s">
        <v>605</v>
      </c>
      <c r="D16" s="11" t="s">
        <v>606</v>
      </c>
      <c r="E16" s="11" t="s">
        <v>607</v>
      </c>
      <c r="F16" s="11" t="s">
        <v>608</v>
      </c>
    </row>
    <row r="17" spans="1:6" ht="45" customHeight="1" x14ac:dyDescent="0.25">
      <c r="A17" s="11" t="s">
        <v>603</v>
      </c>
      <c r="B17" s="11" t="s">
        <v>609</v>
      </c>
      <c r="C17" s="11" t="s">
        <v>610</v>
      </c>
      <c r="D17" s="11" t="s">
        <v>606</v>
      </c>
      <c r="E17" s="11" t="s">
        <v>611</v>
      </c>
      <c r="F17" s="11" t="s">
        <v>612</v>
      </c>
    </row>
    <row r="18" spans="1:6" ht="45" customHeight="1" x14ac:dyDescent="0.25">
      <c r="A18" s="11" t="s">
        <v>613</v>
      </c>
      <c r="B18" s="11" t="s">
        <v>614</v>
      </c>
      <c r="C18" s="11" t="s">
        <v>615</v>
      </c>
      <c r="D18" s="11" t="s">
        <v>616</v>
      </c>
      <c r="E18" s="11" t="s">
        <v>607</v>
      </c>
      <c r="F18" s="11" t="s">
        <v>617</v>
      </c>
    </row>
    <row r="19" spans="1:6" ht="45" customHeight="1" x14ac:dyDescent="0.25">
      <c r="A19" s="11" t="s">
        <v>618</v>
      </c>
      <c r="B19" s="11" t="s">
        <v>619</v>
      </c>
      <c r="C19" s="11" t="s">
        <v>620</v>
      </c>
      <c r="D19" s="11" t="s">
        <v>621</v>
      </c>
      <c r="E19" s="11" t="s">
        <v>580</v>
      </c>
      <c r="F19" s="11" t="s">
        <v>622</v>
      </c>
    </row>
    <row r="20" spans="1:6" ht="45" customHeight="1" x14ac:dyDescent="0.25">
      <c r="A20" s="11" t="s">
        <v>618</v>
      </c>
      <c r="B20" s="11" t="s">
        <v>623</v>
      </c>
      <c r="C20" s="11" t="s">
        <v>624</v>
      </c>
      <c r="D20" s="11" t="s">
        <v>621</v>
      </c>
      <c r="E20" s="11" t="s">
        <v>625</v>
      </c>
      <c r="F20" s="11" t="s">
        <v>626</v>
      </c>
    </row>
    <row r="21" spans="1:6" ht="45" customHeight="1" x14ac:dyDescent="0.25">
      <c r="A21" s="11" t="s">
        <v>627</v>
      </c>
      <c r="B21" s="11" t="s">
        <v>628</v>
      </c>
      <c r="C21" s="11" t="s">
        <v>629</v>
      </c>
      <c r="D21" s="11" t="s">
        <v>621</v>
      </c>
      <c r="E21" s="11" t="s">
        <v>580</v>
      </c>
      <c r="F21" s="11" t="s">
        <v>630</v>
      </c>
    </row>
    <row r="22" spans="1:6" ht="45" customHeight="1" x14ac:dyDescent="0.25">
      <c r="A22" s="11" t="s">
        <v>631</v>
      </c>
      <c r="B22" s="11" t="s">
        <v>632</v>
      </c>
      <c r="C22" s="11" t="s">
        <v>633</v>
      </c>
      <c r="D22" s="11" t="s">
        <v>634</v>
      </c>
      <c r="E22" s="11" t="s">
        <v>635</v>
      </c>
      <c r="F22" s="11" t="s">
        <v>636</v>
      </c>
    </row>
    <row r="23" spans="1:6" ht="45" customHeight="1" x14ac:dyDescent="0.25">
      <c r="A23" s="11" t="s">
        <v>637</v>
      </c>
      <c r="B23" s="11" t="s">
        <v>638</v>
      </c>
      <c r="C23" s="11" t="s">
        <v>639</v>
      </c>
      <c r="D23" s="11" t="s">
        <v>640</v>
      </c>
      <c r="E23" s="11" t="s">
        <v>641</v>
      </c>
      <c r="F23" s="11" t="s">
        <v>642</v>
      </c>
    </row>
  </sheetData>
  <mergeCells count="3">
    <mergeCell ref="A1:F1"/>
    <mergeCell ref="A2:F2"/>
    <mergeCell ref="A4:F4"/>
  </mergeCells>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1"/>
  <sheetViews>
    <sheetView showGridLines="0" tabSelected="1" workbookViewId="0">
      <pane ySplit="5" topLeftCell="A6" activePane="bottomLeft" state="frozen"/>
      <selection pane="bottomLeft" activeCell="E14" sqref="E14"/>
    </sheetView>
  </sheetViews>
  <sheetFormatPr defaultRowHeight="15" x14ac:dyDescent="0.25"/>
  <cols>
    <col min="1" max="1" width="41.85546875" customWidth="1"/>
    <col min="2" max="2" width="43.85546875" customWidth="1"/>
    <col min="3" max="3" width="27.5703125" customWidth="1"/>
    <col min="4" max="4" width="21" customWidth="1"/>
  </cols>
  <sheetData>
    <row r="1" spans="1:4" ht="30" customHeight="1" x14ac:dyDescent="0.25">
      <c r="A1" s="24" t="s">
        <v>683</v>
      </c>
      <c r="B1" s="24"/>
      <c r="C1" s="24"/>
      <c r="D1" s="24"/>
    </row>
    <row r="2" spans="1:4" ht="30" customHeight="1" x14ac:dyDescent="0.25">
      <c r="A2" s="25" t="s">
        <v>705</v>
      </c>
      <c r="B2" s="25"/>
      <c r="C2" s="25"/>
      <c r="D2" s="25"/>
    </row>
    <row r="3" spans="1:4" ht="9" customHeight="1" x14ac:dyDescent="0.25">
      <c r="A3" s="7"/>
      <c r="B3" s="7"/>
      <c r="C3" s="7"/>
      <c r="D3" s="7"/>
    </row>
    <row r="4" spans="1:4" ht="21.95" customHeight="1" x14ac:dyDescent="0.25">
      <c r="A4" s="26" t="s">
        <v>706</v>
      </c>
      <c r="B4" s="26"/>
      <c r="C4" s="26"/>
      <c r="D4" s="26"/>
    </row>
    <row r="5" spans="1:4" ht="30" customHeight="1" x14ac:dyDescent="0.25">
      <c r="A5" s="12" t="s">
        <v>643</v>
      </c>
      <c r="B5" s="12" t="s">
        <v>644</v>
      </c>
      <c r="C5" s="12" t="s">
        <v>645</v>
      </c>
      <c r="D5" s="12" t="s">
        <v>646</v>
      </c>
    </row>
    <row r="6" spans="1:4" ht="45" customHeight="1" x14ac:dyDescent="0.25">
      <c r="A6" s="11" t="s">
        <v>647</v>
      </c>
      <c r="B6" s="11" t="s">
        <v>648</v>
      </c>
      <c r="C6" s="11" t="s">
        <v>649</v>
      </c>
      <c r="D6" s="27" t="s">
        <v>650</v>
      </c>
    </row>
    <row r="7" spans="1:4" ht="45" customHeight="1" x14ac:dyDescent="0.25">
      <c r="A7" s="11" t="s">
        <v>651</v>
      </c>
      <c r="B7" s="11" t="s">
        <v>652</v>
      </c>
      <c r="C7" s="11" t="s">
        <v>653</v>
      </c>
      <c r="D7" s="27" t="s">
        <v>650</v>
      </c>
    </row>
    <row r="8" spans="1:4" ht="45" customHeight="1" x14ac:dyDescent="0.25">
      <c r="A8" s="11" t="s">
        <v>654</v>
      </c>
      <c r="B8" s="11" t="s">
        <v>655</v>
      </c>
      <c r="C8" s="11" t="s">
        <v>656</v>
      </c>
      <c r="D8" s="27" t="s">
        <v>650</v>
      </c>
    </row>
    <row r="9" spans="1:4" ht="45" customHeight="1" x14ac:dyDescent="0.25">
      <c r="A9" s="11" t="s">
        <v>657</v>
      </c>
      <c r="B9" s="11" t="s">
        <v>658</v>
      </c>
      <c r="C9" s="11" t="s">
        <v>659</v>
      </c>
      <c r="D9" s="27" t="s">
        <v>650</v>
      </c>
    </row>
    <row r="10" spans="1:4" ht="45" customHeight="1" x14ac:dyDescent="0.25">
      <c r="A10" s="11" t="s">
        <v>660</v>
      </c>
      <c r="B10" s="11" t="s">
        <v>661</v>
      </c>
      <c r="C10" s="11" t="s">
        <v>576</v>
      </c>
      <c r="D10" s="27" t="s">
        <v>650</v>
      </c>
    </row>
    <row r="11" spans="1:4" ht="45" customHeight="1" x14ac:dyDescent="0.25">
      <c r="A11" s="11" t="s">
        <v>662</v>
      </c>
      <c r="B11" s="11" t="s">
        <v>663</v>
      </c>
      <c r="C11" s="11" t="s">
        <v>664</v>
      </c>
      <c r="D11" s="27" t="s">
        <v>650</v>
      </c>
    </row>
  </sheetData>
  <mergeCells count="3">
    <mergeCell ref="A1:D1"/>
    <mergeCell ref="A2:D2"/>
    <mergeCell ref="A4:D4"/>
  </mergeCells>
  <conditionalFormatting sqref="D6:D11">
    <cfRule type="containsText" dxfId="97" priority="1" operator="containsText" text="Needs validation">
      <formula>NOT(ISERROR(SEARCH("Needs validation",D6)))</formula>
    </cfRule>
  </conditionalFormatting>
  <pageMargins left="0.75" right="0.75" top="1" bottom="1" header="0.5" footer="0.5"/>
  <tableParts count="1">
    <tablePart r:id="rId1"/>
  </tableParts>
</worksheet>
</file>

<file path=docProps/app.xml><?xml version="1.0" encoding="utf-8"?>
<Properties xmlns="http://schemas.openxmlformats.org/officeDocument/2006/extended-properties" xmlns:ns1="http://schemas.openxmlformats.org/officeDocument/2006/docPropsVTypes">
  <Application>Microsoft Excel</Application>
  <DocSecurity>0</DocSecurity>
  <ScaleCrop>false</ScaleCrop>
  <HeadingPairs>
    <ns1:vector size="2" baseType="variant">
      <ns1:variant>
        <ns1:lpstr>Worksheets</ns1:lpstr>
      </ns1:variant>
      <ns1:variant>
        <ns1:i4>9</ns1:i4>
      </ns1:variant>
    </ns1:vector>
  </HeadingPairs>
  <TitlesOfParts>
    <ns1:vector size="9" baseType="lpstr">
      <ns1:lpstr>Cover</ns1:lpstr>
      <ns1:lpstr>Technical to Business Value</ns1:lpstr>
      <ns1:lpstr>Persona Database</ns1:lpstr>
      <ns1:lpstr>Segment Framework</ns1:lpstr>
      <ns1:lpstr>Competitive Matrix</ns1:lpstr>
      <ns1:lpstr>Battlecard Data</ns1:lpstr>
      <ns1:lpstr>Use Case Playbooks</ns1:lpstr>
      <ns1:lpstr>KPI Framework</ns1:lpstr>
      <ns1:lpstr>Assumption Register</ns1:lpstr>
    </ns1: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creator>Shiv, Prospective PMM, Mistral Studio</dc:creator>
  <cp:lastModifiedBy>Shivam Singh</cp:lastModifiedBy>
  <dcterms:created xsi:type="dcterms:W3CDTF">2026-08-16T18:16:19Z</dcterms:created>
  <dcterms:modified xsi:type="dcterms:W3CDTF">2026-08-17T06:04:22Z</dcterms:modified>
  <dc:title>Mistral Studio - Technical-to-Business Value and ROI Framework</dc:title>
  <dc:subject>Translation of technical capabilities into enterprise outcomes and ROI</dc:subject>
  <cp:keywords>mistral-studio, business-value, roi, technical-translation</cp:keywords>
  <dc:description>Framework connecting technical capabilities, buyer value, use cases, assumptions, and measurable outcomes.</dc:description>
</cp:coreProperties>
</file>